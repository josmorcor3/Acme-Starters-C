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B439684E-6F8F-47B6-9BE0-2C167E605147}"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4" l="1"/>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<sst xmlns="http://schemas.openxmlformats.org/spreadsheetml/2006/main" count="282" uniqueCount="117">
  <si>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</si>
  <si>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</si>
  <si>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</si>
  <si>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</si>
  <si>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</si>
  <si>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</si>
  <si>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</si>
  <si>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</si>
  <si>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</si>
  <si>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</si>
  <si>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</si>
  <si>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</si>
  <si>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</si>
  <si>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</si>
  <si>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</si>
  <si>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</si>
  <si>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</si>
  <si>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</si>
  <si>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</si>
  <si>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</si>
  <si>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</si>
  <si>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</si>
  <si>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</si>
  <si>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</si>
  <si>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</si>
  <si>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</si>
  <si>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</si>
  <si>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</si>
  <si>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</si>
  <si>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</si>
  <si>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</si>
  <si>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</si>
  <si>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</si>
  <si>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</si>
  <si>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</si>
  <si>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</si>
  <si>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</si>
  <si>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</si>
  <si>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</si>
  <si>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</si>
  <si>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</si>
  <si>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</si>
  <si>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</si>
  <si>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</si>
  <si>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</si>
  <si>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</si>
  <si>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</si>
  <si>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</si>
  <si>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</si>
  <si>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</si>
  <si>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</si>
  <si>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</si>
  <si>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</si>
  <si>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</si>
  <si>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</si>
  <si>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</si>
  <si>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</si>
  <si>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</si>
  <si>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</si>
  <si>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</si>
  <si>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</si>
  <si>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</si>
  <si>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</si>
  <si>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</si>
  <si>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</si>
  <si>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</si>
  <si>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</si>
  <si>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</si>
  <si>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</si>
  <si>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</si>
  <si>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</si>
  <si>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</si>
  <si>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</si>
  <si>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</si>
  <si>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</si>
  <si>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</si>
  <si>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</si>
  <si>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</si>
  <si>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</si>
  <si>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</si>
  <si>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</si>
  <si>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</si>
  <si>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</si>
  <si>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</si>
  <si>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</si>
  <si>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</si>
  <si>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</si>
  <si>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</si>
  <si>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</si>
  <si>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</si>
  <si>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</si>
  <si>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</si>
  <si>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</si>
  <si>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</si>
  <si>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</si>
  <si>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</si>
  <si>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</si>
  <si>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</si>
  <si>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</si>
  <si>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</si>
  <si>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</si>
  <si>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</si>
  <si>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</si>
  <si>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</si>
  <si>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</si>
  <si>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</si>
  <si>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</si>
  <si>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</si>
  <si>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</si>
  <si>
    <t>Realizar re-planificación</t>
  </si>
  <si>
    <t>Actualizar Acme-Framework a la versión 26.2.0</t>
  </si>
  <si>
    <t>T0018/D</t>
  </si>
  <si>
    <t>T0011/D</t>
  </si>
  <si>
    <t>T0015/D</t>
  </si>
  <si>
    <t>T0012/D</t>
  </si>
  <si>
    <t>T0014/D</t>
  </si>
  <si>
    <t>T0013/D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</si>
</sst>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xf numFmtId="0" fontId="0" fillId="4" borderId="13" xfId="0" applyFont="1" applyFill="1" applyBorder="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5" t="s">
        <v>78</v>
      </c>
      <c r="C2" s="55"/>
      <c r="D2" s="55"/>
      <c r="E2" s="55"/>
      <c r="F2" s="55"/>
      <c r="G2" s="55"/>
      <c r="H2" s="55"/>
      <c r="I2" s="55"/>
      <c r="J2" s="55"/>
    </row>
    <row r="4" spans="2:10" x14ac:dyDescent="0.45">
      <c r="B4" s="53" t="s">
        <v>2</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4"/>
      <c r="C7" s="54"/>
      <c r="D7" s="54"/>
      <c r="E7" s="54"/>
      <c r="F7" s="54"/>
      <c r="G7" s="54"/>
      <c r="H7" s="54"/>
      <c r="I7" s="54"/>
      <c r="J7" s="54"/>
    </row>
    <row r="8" spans="2:10" x14ac:dyDescent="0.45">
      <c r="B8" s="54"/>
      <c r="C8" s="54"/>
      <c r="D8" s="54"/>
      <c r="E8" s="54"/>
      <c r="F8" s="54"/>
      <c r="G8" s="54"/>
      <c r="H8" s="54"/>
      <c r="I8" s="54"/>
      <c r="J8" s="54"/>
    </row>
    <row r="9" spans="2:10" x14ac:dyDescent="0.45">
      <c r="B9" s="54"/>
      <c r="C9" s="54"/>
      <c r="D9" s="54"/>
      <c r="E9" s="54"/>
      <c r="F9" s="54"/>
      <c r="G9" s="54"/>
      <c r="H9" s="54"/>
      <c r="I9" s="54"/>
      <c r="J9" s="54"/>
    </row>
    <row r="10" spans="2:10" x14ac:dyDescent="0.45">
      <c r="B10" s="54"/>
      <c r="C10" s="54"/>
      <c r="D10" s="54"/>
      <c r="E10" s="54"/>
      <c r="F10" s="54"/>
      <c r="G10" s="54"/>
      <c r="H10" s="54"/>
      <c r="I10" s="54"/>
      <c r="J10" s="54"/>
    </row>
    <row r="11" spans="2:10" x14ac:dyDescent="0.45">
      <c r="B11" s="54"/>
      <c r="C11" s="54"/>
      <c r="D11" s="54"/>
      <c r="E11" s="54"/>
      <c r="F11" s="54"/>
      <c r="G11" s="54"/>
      <c r="H11" s="54"/>
      <c r="I11" s="54"/>
      <c r="J11" s="54"/>
    </row>
    <row r="12" spans="2:10" x14ac:dyDescent="0.4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5" t="s">
        <v>4</v>
      </c>
      <c r="C2" s="55"/>
      <c r="D2" s="55"/>
      <c r="E2" s="55"/>
      <c r="F2" s="55"/>
      <c r="G2" s="55"/>
      <c r="H2" s="55"/>
      <c r="I2" s="55"/>
      <c r="J2" s="55"/>
    </row>
    <row r="3" spans="2:10" x14ac:dyDescent="0.45">
      <c r="B3" s="2"/>
      <c r="C3" s="1"/>
      <c r="D3" s="1"/>
      <c r="E3" s="1"/>
      <c r="F3" s="1"/>
      <c r="G3" s="1"/>
      <c r="H3" s="1"/>
      <c r="I3" s="1"/>
      <c r="J3" s="1"/>
    </row>
    <row r="4" spans="2:10" ht="15" customHeight="1" x14ac:dyDescent="0.45">
      <c r="B4" s="53" t="s">
        <v>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6" t="s">
        <v>0</v>
      </c>
      <c r="D9" s="56"/>
      <c r="E9" s="56"/>
      <c r="F9" s="56"/>
      <c r="G9" s="56"/>
      <c r="H9" s="56"/>
      <c r="I9" s="56"/>
      <c r="J9" s="56"/>
    </row>
    <row r="10" spans="2:10" x14ac:dyDescent="0.45">
      <c r="B10" s="49"/>
      <c r="C10" s="56" t="s">
        <v>90</v>
      </c>
      <c r="D10" s="56"/>
      <c r="E10" s="56"/>
      <c r="F10" s="56"/>
      <c r="G10" s="56"/>
      <c r="H10" s="56"/>
      <c r="I10" s="56"/>
      <c r="J10" s="56"/>
    </row>
    <row r="11" spans="2:10" x14ac:dyDescent="0.45">
      <c r="B11" s="50"/>
      <c r="C11" s="48" t="s">
        <v>91</v>
      </c>
      <c r="D11" s="48"/>
      <c r="E11" s="48"/>
      <c r="F11" s="48"/>
      <c r="G11" s="48"/>
      <c r="H11" s="48"/>
      <c r="I11" s="48"/>
      <c r="J11" s="48"/>
    </row>
    <row r="12" spans="2:10" x14ac:dyDescent="0.4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15" activePane="bottomLeft" state="frozen"/>
      <selection pane="bottomLeft" activeCell="G26" sqref="G26"/>
    </sheetView>
  </sheetViews>
  <sheetFormatPr baseColWidth="10" defaultColWidth="9.06640625" defaultRowHeight="14.25" x14ac:dyDescent="0.45"/>
  <cols>
    <col min="3" max="15" width="18.86328125" customWidth="1"/>
    <col min="16" max="16" width="64.53125" customWidth="1"/>
  </cols>
  <sheetData>
    <row r="2" spans="2:16" x14ac:dyDescent="0.45">
      <c r="C2" s="55" t="s">
        <v>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SUM(N12:N112)</f>
        <v>870.00000000000011</v>
      </c>
      <c r="F6" s="5"/>
      <c r="G6" s="5"/>
      <c r="H6" s="5"/>
      <c r="I6" s="5"/>
      <c r="J6" s="5"/>
      <c r="K6" s="5"/>
      <c r="L6" s="5"/>
      <c r="M6" s="5"/>
      <c r="N6" s="5"/>
      <c r="O6" s="5"/>
      <c r="P6" s="5"/>
    </row>
    <row r="7" spans="2:16" x14ac:dyDescent="0.45">
      <c r="C7" s="57"/>
      <c r="D7" s="11" t="s">
        <v>70</v>
      </c>
      <c r="E7" s="36">
        <f>SUM(O12:O112)</f>
        <v>968.33333333333337</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46067.416666666664</v>
      </c>
      <c r="J21" s="46">
        <v>46067.578472222223</v>
      </c>
      <c r="K21" s="45" t="str">
        <f t="shared" ca="1" si="0"/>
        <v>Completed</v>
      </c>
      <c r="L21" s="47">
        <v>3</v>
      </c>
      <c r="M21" s="47">
        <v>3</v>
      </c>
      <c r="N21" s="45">
        <f>IF(ISBLANK(L21), "", L21*VLOOKUP($F21,Internal!$B$26:$C$32,2,FALSE))</f>
        <v>75</v>
      </c>
      <c r="O21" s="45">
        <f>IF(ISBLANK(M21), "", M21*VLOOKUP($F21,Internal!$B$26:$C$32,2,FALSE))</f>
        <v>75</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46068.416666666664</v>
      </c>
      <c r="J22" s="46">
        <v>46068.5625</v>
      </c>
      <c r="K22" s="45" t="str">
        <f t="shared" ca="1" si="0"/>
        <v>Completed</v>
      </c>
      <c r="L22" s="47">
        <v>3</v>
      </c>
      <c r="M22" s="47">
        <v>3</v>
      </c>
      <c r="N22" s="45">
        <f>IF(ISBLANK(L22), "", L22*VLOOKUP($F22,Internal!$B$26:$C$32,2,FALSE))</f>
        <v>75</v>
      </c>
      <c r="O22" s="45">
        <f>IF(ISBLANK(M22), "", M22*VLOOKUP($F22,Internal!$B$26:$C$32,2,FALSE))</f>
        <v>75</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46065.416666666664</v>
      </c>
      <c r="J23" s="46">
        <v>46065.541666666664</v>
      </c>
      <c r="K23" s="45" t="str">
        <f t="shared" ca="1" si="0"/>
        <v>Completed</v>
      </c>
      <c r="L23" s="47">
        <v>3</v>
      </c>
      <c r="M23" s="47">
        <v>3</v>
      </c>
      <c r="N23" s="45">
        <f>IF(ISBLANK(L23), "", L23*VLOOKUP($F23,Internal!$B$26:$C$32,2,FALSE))</f>
        <v>75</v>
      </c>
      <c r="O23" s="45">
        <f>IF(ISBLANK(M23), "", M23*VLOOKUP($F23,Internal!$B$26:$C$32,2,FALSE))</f>
        <v>75</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46068.75</v>
      </c>
      <c r="J24" s="46">
        <v>46068.885416666664</v>
      </c>
      <c r="K24" s="45" t="str">
        <f t="shared" ca="1" si="0"/>
        <v>Completed</v>
      </c>
      <c r="L24" s="47">
        <v>3</v>
      </c>
      <c r="M24" s="47">
        <v>3</v>
      </c>
      <c r="N24" s="45">
        <f>IF(ISBLANK(L24), "", L24*VLOOKUP($F24,Internal!$B$26:$C$32,2,FALSE))</f>
        <v>75</v>
      </c>
      <c r="O24" s="45">
        <f>IF(ISBLANK(M24), "", M24*VLOOKUP($F24,Internal!$B$26:$C$32,2,FALSE))</f>
        <v>75</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46068.416666666664</v>
      </c>
      <c r="J25" s="46">
        <v>46068.572916666664</v>
      </c>
      <c r="K25" s="45" t="str">
        <f t="shared" ca="1" si="0"/>
        <v>Completed</v>
      </c>
      <c r="L25" s="47">
        <v>3</v>
      </c>
      <c r="M25" s="47">
        <v>3</v>
      </c>
      <c r="N25" s="45">
        <f>IF(ISBLANK(L25), "", L25*VLOOKUP($F25,Internal!$B$26:$C$32,2,FALSE))</f>
        <v>75</v>
      </c>
      <c r="O25" s="45">
        <f>IF(ISBLANK(M25), "", M25*VLOOKUP($F25,Internal!$B$26:$C$32,2,FALSE))</f>
        <v>75</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46068.75</v>
      </c>
      <c r="J26" s="46">
        <v>46068.875</v>
      </c>
      <c r="K26" s="45" t="str">
        <f t="shared" ca="1" si="0"/>
        <v>Completed</v>
      </c>
      <c r="L26" s="47">
        <v>2</v>
      </c>
      <c r="M26" s="47">
        <v>2.5</v>
      </c>
      <c r="N26" s="45">
        <f>IF(ISBLANK(L26), "", L26*VLOOKUP($F26,Internal!$B$26:$C$32,2,FALSE))</f>
        <v>100</v>
      </c>
      <c r="O26" s="45">
        <f>IF(ISBLANK(M26), "", M26*VLOOKUP($F26,Internal!$B$26:$C$32,2,FALSE))</f>
        <v>125</v>
      </c>
      <c r="P26" s="44" t="s">
        <v>103</v>
      </c>
    </row>
    <row r="27" spans="2:16" ht="14.65" thickBot="1" x14ac:dyDescent="0.5">
      <c r="B27" s="41">
        <v>17</v>
      </c>
      <c r="C27" s="42" t="str">
        <f>IF(ISBLANK(D27), "", _xlfn.CONCAT("T", TEXT(B27, "0000"), "/", VLOOKUP(D27, Internal!$B$35:C$39, 2, FALSE), IF(OR(D27="QA", D27="Revision"), _xlfn.CONCAT("/", H27), "")))</f>
        <v>T0017/M</v>
      </c>
      <c r="D27" s="44" t="s">
        <v>64</v>
      </c>
      <c r="E27" s="43" t="s">
        <v>80</v>
      </c>
      <c r="F27" s="43" t="s">
        <v>23</v>
      </c>
      <c r="G27" s="44" t="s">
        <v>33</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109</v>
      </c>
    </row>
    <row r="28" spans="2:16" ht="14.65" thickBot="1" x14ac:dyDescent="0.5">
      <c r="B28" s="41">
        <v>18</v>
      </c>
      <c r="C28" s="42" t="str">
        <f>IF(ISBLANK(D28), "", _xlfn.CONCAT("T", TEXT(B28, "0000"), "/", VLOOKUP(D28, Internal!$B$35:C$39, 2, FALSE), IF(OR(D28="QA", D28="Revision"), _xlfn.CONCAT("/", H28), "")))</f>
        <v>T0018/D</v>
      </c>
      <c r="D28" s="44" t="s">
        <v>62</v>
      </c>
      <c r="E28" s="59" t="s">
        <v>80</v>
      </c>
      <c r="F28" s="43" t="s">
        <v>25</v>
      </c>
      <c r="G28" s="44" t="s">
        <v>89</v>
      </c>
      <c r="H28" s="43"/>
      <c r="I28" s="46">
        <v>46066.006944444445</v>
      </c>
      <c r="J28" s="46">
        <v>46066.034722222219</v>
      </c>
      <c r="K28" s="45" t="str">
        <f t="shared" ca="1" si="0"/>
        <v>Completed</v>
      </c>
      <c r="L28" s="47">
        <v>0.33333333333333331</v>
      </c>
      <c r="M28" s="47">
        <v>0.66666666666666663</v>
      </c>
      <c r="N28" s="45">
        <f>IF(ISBLANK(L28), "", L28*VLOOKUP($F28,Internal!$B$26:$C$32,2,FALSE))</f>
        <v>8.3333333333333321</v>
      </c>
      <c r="O28" s="45">
        <f>IF(ISBLANK(M28), "", M28*VLOOKUP($F28,Internal!$B$26:$C$32,2,FALSE))</f>
        <v>16.666666666666664</v>
      </c>
      <c r="P28" s="44" t="s">
        <v>110</v>
      </c>
    </row>
    <row r="29" spans="2:16" ht="14.65" thickBot="1" x14ac:dyDescent="0.5">
      <c r="B29" s="41">
        <v>19</v>
      </c>
      <c r="C29" s="42" t="str">
        <f>IF(ISBLANK(D29), "", _xlfn.CONCAT("T", TEXT(B29, "0000"), "/", VLOOKUP(D29, Internal!$B$35:C$39, 2, FALSE), IF(OR(D29="QA", D29="Revision"), _xlfn.CONCAT("/", H29), "")))</f>
        <v>T0019/M</v>
      </c>
      <c r="D29" s="44" t="s">
        <v>64</v>
      </c>
      <c r="E29" s="43" t="s">
        <v>80</v>
      </c>
      <c r="F29" s="43" t="s">
        <v>23</v>
      </c>
      <c r="G29" s="44" t="s">
        <v>20</v>
      </c>
      <c r="H29" s="43"/>
      <c r="I29" s="46">
        <v>46069</v>
      </c>
      <c r="J29" s="46">
        <v>46069.006944444445</v>
      </c>
      <c r="K29" s="45" t="str">
        <f t="shared" ca="1" si="0"/>
        <v>Completed</v>
      </c>
      <c r="L29" s="47">
        <v>0.16666666666666666</v>
      </c>
      <c r="M29" s="47">
        <v>0.16666666666666666</v>
      </c>
      <c r="N29" s="45">
        <f>IF(ISBLANK(L29), "", L29*VLOOKUP($F29,Internal!$B$26:$C$32,2,FALSE))</f>
        <v>8.3333333333333321</v>
      </c>
      <c r="O29" s="45">
        <f>IF(ISBLANK(M29), "", M29*VLOOKUP($F29,Internal!$B$26:$C$32,2,FALSE))</f>
        <v>8.3333333333333321</v>
      </c>
      <c r="P29" s="44" t="s">
        <v>102</v>
      </c>
    </row>
    <row r="30" spans="2:16" ht="14.65" thickBot="1" x14ac:dyDescent="0.5">
      <c r="B30" s="41">
        <v>20</v>
      </c>
      <c r="C30" s="42" t="str">
        <f>IF(ISBLANK(D30), "", _xlfn.CONCAT("T", TEXT(B30, "0000"), "/", VLOOKUP(D30, Internal!$B$35:C$39, 2, FALSE), IF(OR(D30="QA", D30="Revision"), _xlfn.CONCAT("/", H30), "")))</f>
        <v>T0020/R/T0018/D</v>
      </c>
      <c r="D30" s="44" t="s">
        <v>61</v>
      </c>
      <c r="E30" s="43" t="s">
        <v>82</v>
      </c>
      <c r="F30" s="43" t="s">
        <v>26</v>
      </c>
      <c r="G30" s="44" t="s">
        <v>87</v>
      </c>
      <c r="H30" s="43" t="s">
        <v>111</v>
      </c>
      <c r="I30" s="46">
        <v>46066.5</v>
      </c>
      <c r="J30" s="46">
        <v>46066.506944444445</v>
      </c>
      <c r="K30" s="45" t="str">
        <f t="shared" ca="1" si="0"/>
        <v>Completed</v>
      </c>
      <c r="L30" s="47">
        <v>0.16666666666666666</v>
      </c>
      <c r="M30" s="47">
        <v>0.16666666666666666</v>
      </c>
      <c r="N30" s="45">
        <f>IF(ISBLANK(L30), "", L30*VLOOKUP($F30,Internal!$B$26:$C$32,2,FALSE))</f>
        <v>5</v>
      </c>
      <c r="O30" s="45">
        <f>IF(ISBLANK(M30), "", M30*VLOOKUP($F30,Internal!$B$26:$C$32,2,FALSE))</f>
        <v>5</v>
      </c>
      <c r="P30" s="44" t="s">
        <v>97</v>
      </c>
    </row>
    <row r="31" spans="2:16" ht="14.65" thickBot="1" x14ac:dyDescent="0.5">
      <c r="B31" s="41">
        <v>21</v>
      </c>
      <c r="C31" s="42" t="str">
        <f>IF(ISBLANK(D31), "", _xlfn.CONCAT("T", TEXT(B31, "0000"), "/", VLOOKUP(D31, Internal!$B$35:C$39, 2, FALSE), IF(OR(D31="QA", D31="Revision"), _xlfn.CONCAT("/", H31), "")))</f>
        <v>T0021/R/T0011/D</v>
      </c>
      <c r="D31" s="44" t="s">
        <v>61</v>
      </c>
      <c r="E31" s="43" t="s">
        <v>82</v>
      </c>
      <c r="F31" s="43" t="s">
        <v>26</v>
      </c>
      <c r="G31" s="44" t="s">
        <v>87</v>
      </c>
      <c r="H31" s="43" t="s">
        <v>112</v>
      </c>
      <c r="I31" s="46">
        <v>46067.708333333336</v>
      </c>
      <c r="J31" s="46">
        <v>46067.75</v>
      </c>
      <c r="K31" s="45" t="str">
        <f t="shared" ca="1" si="0"/>
        <v>Completed</v>
      </c>
      <c r="L31" s="47">
        <v>0.16666666666666666</v>
      </c>
      <c r="M31" s="47">
        <v>1</v>
      </c>
      <c r="N31" s="45">
        <f>IF(ISBLANK(L31), "", L31*VLOOKUP($F31,Internal!$B$26:$C$32,2,FALSE))</f>
        <v>5</v>
      </c>
      <c r="O31" s="45">
        <f>IF(ISBLANK(M31), "", M31*VLOOKUP($F31,Internal!$B$26:$C$32,2,FALSE))</f>
        <v>30</v>
      </c>
      <c r="P31" s="44" t="s">
        <v>97</v>
      </c>
    </row>
    <row r="32" spans="2:16" ht="14.65" thickBot="1" x14ac:dyDescent="0.5">
      <c r="B32" s="41">
        <v>22</v>
      </c>
      <c r="C32" s="42" t="str">
        <f>IF(ISBLANK(D32), "", _xlfn.CONCAT("T", TEXT(B32, "0000"), "/", VLOOKUP(D32, Internal!$B$35:C$39, 2, FALSE), IF(OR(D32="QA", D32="Revision"), _xlfn.CONCAT("/", H32), "")))</f>
        <v>T0022/R/T0015/D</v>
      </c>
      <c r="D32" s="44" t="s">
        <v>61</v>
      </c>
      <c r="E32" s="43" t="s">
        <v>83</v>
      </c>
      <c r="F32" s="43" t="s">
        <v>26</v>
      </c>
      <c r="G32" s="44" t="s">
        <v>87</v>
      </c>
      <c r="H32" s="43" t="s">
        <v>113</v>
      </c>
      <c r="I32" s="46">
        <v>46068.541666666664</v>
      </c>
      <c r="J32" s="46">
        <v>46068.548611111109</v>
      </c>
      <c r="K32" s="45" t="str">
        <f t="shared" ca="1" si="0"/>
        <v>Completed</v>
      </c>
      <c r="L32" s="47">
        <v>0.16666666666666666</v>
      </c>
      <c r="M32" s="47">
        <v>0.16666666666666666</v>
      </c>
      <c r="N32" s="45">
        <f>IF(ISBLANK(L32), "", L32*VLOOKUP($F32,Internal!$B$26:$C$32,2,FALSE))</f>
        <v>5</v>
      </c>
      <c r="O32" s="45">
        <f>IF(ISBLANK(M32), "", M32*VLOOKUP($F32,Internal!$B$26:$C$32,2,FALSE))</f>
        <v>5</v>
      </c>
      <c r="P32" s="44" t="s">
        <v>97</v>
      </c>
    </row>
    <row r="33" spans="2:16" ht="14.65" thickBot="1" x14ac:dyDescent="0.5">
      <c r="B33" s="41">
        <v>23</v>
      </c>
      <c r="C33" s="42" t="str">
        <f>IF(ISBLANK(D33), "", _xlfn.CONCAT("T", TEXT(B33, "0000"), "/", VLOOKUP(D33, Internal!$B$35:C$39, 2, FALSE), IF(OR(D33="QA", D33="Revision"), _xlfn.CONCAT("/", H33), "")))</f>
        <v>T0023/R/T0012/D</v>
      </c>
      <c r="D33" s="44" t="s">
        <v>61</v>
      </c>
      <c r="E33" s="43" t="s">
        <v>80</v>
      </c>
      <c r="F33" s="43" t="s">
        <v>26</v>
      </c>
      <c r="G33" s="44" t="s">
        <v>87</v>
      </c>
      <c r="H33" s="43" t="s">
        <v>114</v>
      </c>
      <c r="I33" s="46">
        <v>46068.743055555555</v>
      </c>
      <c r="J33" s="46">
        <v>46068.75</v>
      </c>
      <c r="K33" s="45" t="str">
        <f ca="1">IF(OR(I33="",J33=""),"",IF(AND(J33&lt;&gt;"",I33&gt;=NOW()),"Planned",IF(AND(J33&lt;&gt;"",J33&lt;NOW()),"Completed","Ongoing")))</f>
        <v>Completed</v>
      </c>
      <c r="L33" s="47">
        <v>0.16666666666666666</v>
      </c>
      <c r="M33" s="47">
        <v>0.16666666666666666</v>
      </c>
      <c r="N33" s="45">
        <f>IF(ISBLANK(L33), "", L33*VLOOKUP($F33,Internal!$B$26:$C$32,2,FALSE))</f>
        <v>5</v>
      </c>
      <c r="O33" s="45">
        <f>IF(ISBLANK(M33), "", M33*VLOOKUP($F33,Internal!$B$26:$C$32,2,FALSE))</f>
        <v>5</v>
      </c>
      <c r="P33" s="44" t="s">
        <v>97</v>
      </c>
    </row>
    <row r="34" spans="2:16" ht="14.65" thickBot="1" x14ac:dyDescent="0.5">
      <c r="B34" s="41">
        <v>24</v>
      </c>
      <c r="C34" s="42" t="str">
        <f>IF(ISBLANK(D34), "", _xlfn.CONCAT("T", TEXT(B34, "0000"), "/", VLOOKUP(D34, Internal!$B$35:C$39, 2, FALSE), IF(OR(D34="QA", D34="Revision"), _xlfn.CONCAT("/", H34), "")))</f>
        <v>T0024/R/T0014/D</v>
      </c>
      <c r="D34" s="44" t="s">
        <v>61</v>
      </c>
      <c r="E34" s="43" t="s">
        <v>84</v>
      </c>
      <c r="F34" s="43" t="s">
        <v>26</v>
      </c>
      <c r="G34" s="44" t="s">
        <v>87</v>
      </c>
      <c r="H34" s="43" t="s">
        <v>115</v>
      </c>
      <c r="I34" s="46">
        <v>46068.895833333336</v>
      </c>
      <c r="J34" s="46">
        <v>46068.916666666664</v>
      </c>
      <c r="K34" s="45" t="str">
        <f ca="1">IF(OR(I34="",J34=""),"",IF(AND(J34&lt;&gt;"",I34&gt;=NOW()),"Planned",IF(AND(J34&lt;&gt;"",J34&lt;NOW()),"Completed","Ongoing")))</f>
        <v>Completed</v>
      </c>
      <c r="L34" s="47">
        <v>0.16666666666666666</v>
      </c>
      <c r="M34" s="47">
        <v>0.5</v>
      </c>
      <c r="N34" s="45">
        <f>IF(ISBLANK(L34), "", L34*VLOOKUP($F34,Internal!$B$26:$C$32,2,FALSE))</f>
        <v>5</v>
      </c>
      <c r="O34" s="45">
        <f>IF(ISBLANK(M34), "", M34*VLOOKUP($F34,Internal!$B$26:$C$32,2,FALSE))</f>
        <v>15</v>
      </c>
      <c r="P34" s="44" t="s">
        <v>97</v>
      </c>
    </row>
    <row r="35" spans="2:16" ht="14.65" thickBot="1" x14ac:dyDescent="0.5">
      <c r="B35" s="41">
        <v>25</v>
      </c>
      <c r="C35" s="42" t="str">
        <f>IF(ISBLANK(D35), "", _xlfn.CONCAT("T", TEXT(B35, "0000"), "/", VLOOKUP(D35, Internal!$B$35:C$39, 2, FALSE), IF(OR(D35="QA", D35="Revision"), _xlfn.CONCAT("/", H35), "")))</f>
        <v>T0025/R/T0013/D</v>
      </c>
      <c r="D35" s="44" t="s">
        <v>61</v>
      </c>
      <c r="E35" s="43" t="s">
        <v>81</v>
      </c>
      <c r="F35" s="43" t="s">
        <v>26</v>
      </c>
      <c r="G35" s="44" t="s">
        <v>87</v>
      </c>
      <c r="H35" s="43" t="s">
        <v>116</v>
      </c>
      <c r="I35" s="46">
        <v>46069.395833333336</v>
      </c>
      <c r="J35" s="46">
        <v>46069.402777777781</v>
      </c>
      <c r="K35" s="45" t="str">
        <f t="shared" ca="1" si="0"/>
        <v>Completed</v>
      </c>
      <c r="L35" s="47">
        <v>0.16666666666666666</v>
      </c>
      <c r="M35" s="47">
        <v>0.16666666666666666</v>
      </c>
      <c r="N35" s="45">
        <f>IF(ISBLANK(L35), "", L35*VLOOKUP($F35,Internal!$B$26:$C$32,2,FALSE))</f>
        <v>5</v>
      </c>
      <c r="O35" s="45">
        <f>IF(ISBLANK(M35), "", M35*VLOOKUP($F35,Internal!$B$26:$C$32,2,FALSE))</f>
        <v>5</v>
      </c>
      <c r="P35" s="44" t="s">
        <v>97</v>
      </c>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32 J34: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J33 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J34:J112 J11:J32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86</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5" t="s">
        <v>11</v>
      </c>
      <c r="C2" s="55"/>
      <c r="D2" s="55"/>
      <c r="E2" s="55"/>
      <c r="F2" s="55"/>
      <c r="G2" s="55"/>
      <c r="H2" s="55"/>
      <c r="I2" s="55"/>
      <c r="J2" s="55"/>
    </row>
    <row r="4" spans="2:10" x14ac:dyDescent="0.45">
      <c r="B4" s="53" t="s">
        <v>13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2026-02-16T09:57:58Z</dcterms:modified>
</cp:coreProperties>
</file>