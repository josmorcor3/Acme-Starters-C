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DEFCDECD-5A75-4411-97CD-8F8FDD2B4F43}"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4" l="1"/>
  <c r="O19" i="14"/>
  <c r="N19" i="14"/>
  <c r="K19" i="14"/>
  <c r="C19" i="14"/>
  <c r="O14" i="14"/>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K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N20" i="14"/>
  <c r="E6" i="14" s="1"/>
</calcChain>
</file>

<file path=xl/sharedStrings.xml><?xml version="1.0" encoding="utf-8"?>
<sst xmlns="http://schemas.openxmlformats.org/spreadsheetml/2006/main" count="231" uniqueCount="109">
  <si>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</si>
  <si>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</si>
  <si>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</si>
  <si>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</si>
  <si>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</si>
  <si>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</si>
  <si>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</si>
  <si>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</si>
  <si>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</si>
  <si>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</si>
  <si>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</si>
  <si>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</si>
  <si>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</si>
  <si>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</si>
  <si>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</si>
  <si>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</si>
  <si>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</si>
  <si>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</si>
  <si>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</si>
  <si>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</si>
  <si>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</si>
  <si>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</si>
  <si>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</si>
  <si>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</si>
  <si>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</si>
  <si>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</si>
  <si>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</si>
  <si>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</si>
  <si>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</si>
  <si>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</si>
  <si>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</si>
  <si>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</si>
  <si>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</si>
  <si>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</si>
  <si>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</si>
  <si>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</si>
  <si>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</si>
  <si>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</si>
  <si>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</si>
  <si>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</si>
  <si>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</si>
  <si>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</si>
  <si>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</si>
  <si>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</si>
  <si>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</si>
  <si>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</si>
  <si>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</si>
  <si>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</si>
  <si>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</si>
  <si>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</si>
  <si>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</si>
  <si>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</si>
  <si>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</si>
  <si>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</si>
  <si>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</si>
  <si>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</si>
  <si>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</si>
  <si>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</si>
  <si>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</si>
  <si>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</si>
  <si>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</si>
  <si>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</si>
  <si>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</si>
  <si>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</si>
  <si>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</si>
  <si>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</si>
  <si>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</si>
  <si>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</si>
  <si>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</si>
  <si>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</si>
  <si>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</si>
  <si>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</si>
  <si>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</si>
  <si>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</si>
  <si>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</si>
  <si>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</si>
  <si>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</si>
  <si>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</si>
  <si>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</si>
  <si>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</si>
  <si>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</si>
  <si>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</si>
  <si>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</si>
  <si>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</si>
  <si>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</si>
  <si>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</si>
  <si>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</si>
  <si>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</si>
  <si>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</si>
  <si>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</si>
  <si>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</si>
  <si>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</si>
  <si>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</si>
  <si>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</si>
  <si>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</si>
  <si>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</si>
  <si>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</si>
  <si>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</si>
  <si>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</si>
  <si>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</si>
  <si>
    <t>Actualizar planificación.</t>
  </si>
  <si>
    <t>Añadir apartados faltantes al chartering report.</t>
  </si>
  <si>
    <t>Actulizar planificación.</t>
  </si>
  <si>
    <t>Modificar chartering report.</t>
  </si>
  <si>
    <t xml:space="preserve">Implementar requisito S1/1 sin validaciones personalizadas ni adicionales. </t>
  </si>
  <si>
    <t xml:space="preserve">Implementar requisito S4/1 sin validaciones personalizadas ni adicionales. </t>
  </si>
  <si>
    <t xml:space="preserve">Implementar requisito S5/1 sin validaciones personalizadas ni adicionales. </t>
  </si>
  <si>
    <t xml:space="preserve">Implementar requisito S2/1 sin validaciones personalizadas ni adicionales. </t>
  </si>
  <si>
    <t xml:space="preserve">Implementar requisito S3/1 sin validaciones personalizadas ni adicionales.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</si>
</sst>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6"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
      <u/>
      <sz val="11"/>
      <color theme="1"/>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xf numFmtId="0" fontId="5" fillId="4" borderId="13" xfId="0" applyFont="1" applyFill="1" applyBorder="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5" t="s">
        <v>78</v>
      </c>
      <c r="C2" s="55"/>
      <c r="D2" s="55"/>
      <c r="E2" s="55"/>
      <c r="F2" s="55"/>
      <c r="G2" s="55"/>
      <c r="H2" s="55"/>
      <c r="I2" s="55"/>
      <c r="J2" s="55"/>
    </row>
    <row r="4" spans="2:10" x14ac:dyDescent="0.45">
      <c r="B4" s="53" t="s">
        <v>2</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4"/>
      <c r="C7" s="54"/>
      <c r="D7" s="54"/>
      <c r="E7" s="54"/>
      <c r="F7" s="54"/>
      <c r="G7" s="54"/>
      <c r="H7" s="54"/>
      <c r="I7" s="54"/>
      <c r="J7" s="54"/>
    </row>
    <row r="8" spans="2:10" x14ac:dyDescent="0.45">
      <c r="B8" s="54"/>
      <c r="C8" s="54"/>
      <c r="D8" s="54"/>
      <c r="E8" s="54"/>
      <c r="F8" s="54"/>
      <c r="G8" s="54"/>
      <c r="H8" s="54"/>
      <c r="I8" s="54"/>
      <c r="J8" s="54"/>
    </row>
    <row r="9" spans="2:10" x14ac:dyDescent="0.45">
      <c r="B9" s="54"/>
      <c r="C9" s="54"/>
      <c r="D9" s="54"/>
      <c r="E9" s="54"/>
      <c r="F9" s="54"/>
      <c r="G9" s="54"/>
      <c r="H9" s="54"/>
      <c r="I9" s="54"/>
      <c r="J9" s="54"/>
    </row>
    <row r="10" spans="2:10" x14ac:dyDescent="0.45">
      <c r="B10" s="54"/>
      <c r="C10" s="54"/>
      <c r="D10" s="54"/>
      <c r="E10" s="54"/>
      <c r="F10" s="54"/>
      <c r="G10" s="54"/>
      <c r="H10" s="54"/>
      <c r="I10" s="54"/>
      <c r="J10" s="54"/>
    </row>
    <row r="11" spans="2:10" x14ac:dyDescent="0.45">
      <c r="B11" s="54"/>
      <c r="C11" s="54"/>
      <c r="D11" s="54"/>
      <c r="E11" s="54"/>
      <c r="F11" s="54"/>
      <c r="G11" s="54"/>
      <c r="H11" s="54"/>
      <c r="I11" s="54"/>
      <c r="J11" s="54"/>
    </row>
    <row r="12" spans="2:10" x14ac:dyDescent="0.4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5" t="s">
        <v>4</v>
      </c>
      <c r="C2" s="55"/>
      <c r="D2" s="55"/>
      <c r="E2" s="55"/>
      <c r="F2" s="55"/>
      <c r="G2" s="55"/>
      <c r="H2" s="55"/>
      <c r="I2" s="55"/>
      <c r="J2" s="55"/>
    </row>
    <row r="3" spans="2:10" x14ac:dyDescent="0.45">
      <c r="B3" s="2"/>
      <c r="C3" s="1"/>
      <c r="D3" s="1"/>
      <c r="E3" s="1"/>
      <c r="F3" s="1"/>
      <c r="G3" s="1"/>
      <c r="H3" s="1"/>
      <c r="I3" s="1"/>
      <c r="J3" s="1"/>
    </row>
    <row r="4" spans="2:10" ht="15" customHeight="1" x14ac:dyDescent="0.45">
      <c r="B4" s="53" t="s">
        <v>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6" t="s">
        <v>0</v>
      </c>
      <c r="D9" s="56"/>
      <c r="E9" s="56"/>
      <c r="F9" s="56"/>
      <c r="G9" s="56"/>
      <c r="H9" s="56"/>
      <c r="I9" s="56"/>
      <c r="J9" s="56"/>
    </row>
    <row r="10" spans="2:10" x14ac:dyDescent="0.45">
      <c r="B10" s="49"/>
      <c r="C10" s="56" t="s">
        <v>90</v>
      </c>
      <c r="D10" s="56"/>
      <c r="E10" s="56"/>
      <c r="F10" s="56"/>
      <c r="G10" s="56"/>
      <c r="H10" s="56"/>
      <c r="I10" s="56"/>
      <c r="J10" s="56"/>
    </row>
    <row r="11" spans="2:10" x14ac:dyDescent="0.45">
      <c r="B11" s="50"/>
      <c r="C11" s="48" t="s">
        <v>91</v>
      </c>
      <c r="D11" s="48"/>
      <c r="E11" s="48"/>
      <c r="F11" s="48"/>
      <c r="G11" s="48"/>
      <c r="H11" s="48"/>
      <c r="I11" s="48"/>
      <c r="J11" s="48"/>
    </row>
    <row r="12" spans="2:10" x14ac:dyDescent="0.4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zoomScaleNormal="100" workbookViewId="0">
      <pane ySplit="10" topLeftCell="A14" activePane="bottomLeft" state="frozen"/>
      <selection pane="bottomLeft" activeCell="F26" sqref="F26"/>
    </sheetView>
  </sheetViews>
  <sheetFormatPr baseColWidth="10" defaultColWidth="9.06640625" defaultRowHeight="14.25" x14ac:dyDescent="0.45"/>
  <cols>
    <col min="3" max="15" width="18.86328125" customWidth="1"/>
    <col min="16" max="16" width="64.53125" customWidth="1"/>
  </cols>
  <sheetData>
    <row r="2" spans="2:16" x14ac:dyDescent="0.45">
      <c r="C2" s="55" t="s">
        <v>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SUM(N12:N112)</f>
        <v>815</v>
      </c>
      <c r="F6" s="5"/>
      <c r="G6" s="5"/>
      <c r="H6" s="5"/>
      <c r="I6" s="5"/>
      <c r="J6" s="5"/>
      <c r="K6" s="5"/>
      <c r="L6" s="5"/>
      <c r="M6" s="5"/>
      <c r="N6" s="5"/>
      <c r="O6" s="5"/>
      <c r="P6" s="5"/>
    </row>
    <row r="7" spans="2:16" x14ac:dyDescent="0.45">
      <c r="C7" s="57"/>
      <c r="D7" s="11" t="s">
        <v>70</v>
      </c>
      <c r="E7" s="36">
        <f>SUM(O12:O112)</f>
        <v>370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v>46061.604166666664</v>
      </c>
      <c r="J17" s="46">
        <v>46061.614583333336</v>
      </c>
      <c r="K17" s="45" t="str">
        <f t="shared" ca="1" si="0"/>
        <v>Completed</v>
      </c>
      <c r="L17" s="47">
        <v>0.5</v>
      </c>
      <c r="M17" s="47">
        <v>0.25</v>
      </c>
      <c r="N17" s="45">
        <f>IF(ISBLANK(L17), "", L17*VLOOKUP($F17,Internal!$B$26:$C$32,2,FALSE))</f>
        <v>15</v>
      </c>
      <c r="O17" s="45">
        <f>IF(ISBLANK(M17), "", M17*VLOOKUP($F17,Internal!$B$26:$C$32,2,FALSE))</f>
        <v>7.5</v>
      </c>
      <c r="P17" s="44" t="s">
        <v>97</v>
      </c>
    </row>
    <row r="18" spans="2:16" ht="14.65" thickBot="1" x14ac:dyDescent="0.5">
      <c r="B18" s="41">
        <v>8</v>
      </c>
      <c r="C18" s="42" t="str">
        <f>IF(ISBLANK(D18), "", _xlfn.CONCAT("T", TEXT(B18, "0000"), "/", VLOOKUP(D18, Internal!$B$35:C$39, 2, FALSE), IF(OR(D18="QA", D18="Revision"), _xlfn.CONCAT("/", H18), "")))</f>
        <v>T0008/M</v>
      </c>
      <c r="D18" s="44" t="s">
        <v>64</v>
      </c>
      <c r="E18" s="43" t="s">
        <v>80</v>
      </c>
      <c r="F18" s="43" t="s">
        <v>23</v>
      </c>
      <c r="G18" s="44" t="s">
        <v>36</v>
      </c>
      <c r="H18" s="43"/>
      <c r="I18" s="46">
        <v>46061.864583333336</v>
      </c>
      <c r="J18" s="46">
        <v>46061.916666666664</v>
      </c>
      <c r="K18" s="45" t="str">
        <f t="shared" ca="1" si="0"/>
        <v>Completed</v>
      </c>
      <c r="L18" s="47">
        <v>1</v>
      </c>
      <c r="M18" s="47">
        <v>1.25</v>
      </c>
      <c r="N18" s="45">
        <f>IF(ISBLANK(L18), "", L18*VLOOKUP($F18,Internal!$B$26:$C$32,2,FALSE))</f>
        <v>50</v>
      </c>
      <c r="O18" s="45">
        <f>IF(ISBLANK(M18), "", M18*VLOOKUP($F18,Internal!$B$26:$C$32,2,FALSE))</f>
        <v>62.5</v>
      </c>
      <c r="P18" s="44" t="s">
        <v>101</v>
      </c>
    </row>
    <row r="19" spans="2:16" ht="14.65" thickBot="1" x14ac:dyDescent="0.5">
      <c r="B19" s="41">
        <v>9</v>
      </c>
      <c r="C19" s="42" t="str">
        <f>IF(ISBLANK(D19), "", _xlfn.CONCAT("T", TEXT(B19, "0000"), "/", VLOOKUP(D19, Internal!$B$35:C$39, 2, FALSE), IF(OR(D19="QA", D19="Revision"), _xlfn.CONCAT("/", H19), "")))</f>
        <v>T0009/M</v>
      </c>
      <c r="D19" s="44" t="s">
        <v>64</v>
      </c>
      <c r="E19" s="43" t="s">
        <v>80</v>
      </c>
      <c r="F19" s="43" t="s">
        <v>23</v>
      </c>
      <c r="G19" s="44" t="s">
        <v>20</v>
      </c>
      <c r="H19" s="43"/>
      <c r="I19" s="46">
        <v>46061.916666666664</v>
      </c>
      <c r="J19" s="46">
        <v>46061.920138888891</v>
      </c>
      <c r="K19" s="45" t="str">
        <f t="shared" ref="K19" ca="1" si="1">IF(OR(I19="",J19=""),"",IF(AND(J19&lt;&gt;"",I19&gt;=NOW()),"Planned",IF(AND(J19&lt;&gt;"",J19&lt;NOW()),"Completed","Ongoing")))</f>
        <v>Completed</v>
      </c>
      <c r="L19" s="47">
        <v>8.3333333333333329E-2</v>
      </c>
      <c r="M19" s="47">
        <v>8.3333333333333329E-2</v>
      </c>
      <c r="N19" s="45">
        <f>IF(ISBLANK(L19), "", L19*VLOOKUP($F19,Internal!$B$26:$C$32,2,FALSE))</f>
        <v>4.1666666666666661</v>
      </c>
      <c r="O19" s="45">
        <f>IF(ISBLANK(M19), "", M19*VLOOKUP($F19,Internal!$B$26:$C$32,2,FALSE))</f>
        <v>4.1666666666666661</v>
      </c>
      <c r="P19" s="44" t="s">
        <v>100</v>
      </c>
    </row>
    <row r="20" spans="2:16" ht="14.65" thickBot="1" x14ac:dyDescent="0.5">
      <c r="B20" s="41">
        <v>10</v>
      </c>
      <c r="C20" s="42" t="str">
        <f>IF(ISBLANK(D20), "", _xlfn.CONCAT("T", TEXT(B20, "0000"), "/", VLOOKUP(D20, Internal!$B$35:C$39, 2, FALSE), IF(OR(D20="QA", D20="Revision"), _xlfn.CONCAT("/", H20), "")))</f>
        <v>T0010/M</v>
      </c>
      <c r="D20" s="44" t="s">
        <v>64</v>
      </c>
      <c r="E20" s="43" t="s">
        <v>80</v>
      </c>
      <c r="F20" s="43" t="s">
        <v>23</v>
      </c>
      <c r="G20" s="44" t="s">
        <v>20</v>
      </c>
      <c r="H20" s="43"/>
      <c r="I20" s="46">
        <v>46065.680555555555</v>
      </c>
      <c r="J20" s="46">
        <v>46065.6875</v>
      </c>
      <c r="K20" s="45" t="str">
        <f t="shared" ca="1" si="0"/>
        <v>Ongoing</v>
      </c>
      <c r="L20" s="47">
        <v>0.16666666666666666</v>
      </c>
      <c r="M20" s="47">
        <v>0.16666666666666666</v>
      </c>
      <c r="N20" s="45">
        <f>IF(ISBLANK(L20), "", L20*VLOOKUP($F20,Internal!$B$26:$C$32,2,FALSE))</f>
        <v>8.3333333333333321</v>
      </c>
      <c r="O20" s="45">
        <f>IF(ISBLANK(M20), "", M20*VLOOKUP($F20,Internal!$B$26:$C$32,2,FALSE))</f>
        <v>8.3333333333333321</v>
      </c>
      <c r="P20" s="44" t="s">
        <v>102</v>
      </c>
    </row>
    <row r="21" spans="2:16" ht="14.65" thickBot="1" x14ac:dyDescent="0.5">
      <c r="B21" s="41">
        <v>11</v>
      </c>
      <c r="C21" s="42" t="str">
        <f>IF(ISBLANK(D21), "", _xlfn.CONCAT("T", TEXT(B21, "0000"), "/", VLOOKUP(D21, Internal!$B$35:C$39, 2, FALSE), IF(OR(D21="QA", D21="Revision"), _xlfn.CONCAT("/", H21), "")))</f>
        <v>T0011/D</v>
      </c>
      <c r="D21" s="44" t="s">
        <v>62</v>
      </c>
      <c r="E21" s="43" t="s">
        <v>80</v>
      </c>
      <c r="F21" s="43" t="s">
        <v>25</v>
      </c>
      <c r="G21" s="44" t="s">
        <v>41</v>
      </c>
      <c r="H21" s="43"/>
      <c r="I21" s="46">
        <v>46065.708333333336</v>
      </c>
      <c r="J21" s="46"/>
      <c r="K21" s="45" t="str">
        <f t="shared" ca="1" si="0"/>
        <v/>
      </c>
      <c r="L21" s="47">
        <v>3</v>
      </c>
      <c r="M21" s="47"/>
      <c r="N21" s="45">
        <f>IF(ISBLANK(L21), "", L21*VLOOKUP($F21,Internal!$B$26:$C$32,2,FALSE))</f>
        <v>75</v>
      </c>
      <c r="O21" s="45" t="str">
        <f>IF(ISBLANK(M21), "", M21*VLOOKUP($F21,Internal!$B$26:$C$32,2,FALSE))</f>
        <v/>
      </c>
      <c r="P21" s="44" t="s">
        <v>104</v>
      </c>
    </row>
    <row r="22" spans="2:16" ht="14.65" thickBot="1" x14ac:dyDescent="0.5">
      <c r="B22" s="41">
        <v>12</v>
      </c>
      <c r="C22" s="42" t="str">
        <f>IF(ISBLANK(D22), "", _xlfn.CONCAT("T", TEXT(B22, "0000"), "/", VLOOKUP(D22, Internal!$B$35:C$39, 2, FALSE), IF(OR(D22="QA", D22="Revision"), _xlfn.CONCAT("/", H22), "")))</f>
        <v>T0012/D</v>
      </c>
      <c r="D22" s="44" t="s">
        <v>62</v>
      </c>
      <c r="E22" s="43" t="s">
        <v>83</v>
      </c>
      <c r="F22" s="43" t="s">
        <v>25</v>
      </c>
      <c r="G22" s="44" t="s">
        <v>41</v>
      </c>
      <c r="H22" s="43"/>
      <c r="I22" s="46">
        <v>46065.708333333336</v>
      </c>
      <c r="J22" s="46"/>
      <c r="K22" s="45" t="str">
        <f t="shared" ca="1" si="0"/>
        <v/>
      </c>
      <c r="L22" s="47">
        <v>3</v>
      </c>
      <c r="M22" s="47"/>
      <c r="N22" s="45">
        <f>IF(ISBLANK(L22), "", L22*VLOOKUP($F22,Internal!$B$26:$C$32,2,FALSE))</f>
        <v>75</v>
      </c>
      <c r="O22" s="45" t="str">
        <f>IF(ISBLANK(M22), "", M22*VLOOKUP($F22,Internal!$B$26:$C$32,2,FALSE))</f>
        <v/>
      </c>
      <c r="P22" s="44" t="s">
        <v>105</v>
      </c>
    </row>
    <row r="23" spans="2:16" ht="14.65" thickBot="1" x14ac:dyDescent="0.5">
      <c r="B23" s="41">
        <v>13</v>
      </c>
      <c r="C23" s="42" t="str">
        <f>IF(ISBLANK(D23), "", _xlfn.CONCAT("T", TEXT(B23, "0000"), "/", VLOOKUP(D23, Internal!$B$35:C$39, 2, FALSE), IF(OR(D23="QA", D23="Revision"), _xlfn.CONCAT("/", H23), "")))</f>
        <v>T0013/D</v>
      </c>
      <c r="D23" s="44" t="s">
        <v>62</v>
      </c>
      <c r="E23" s="43" t="s">
        <v>84</v>
      </c>
      <c r="F23" s="43" t="s">
        <v>25</v>
      </c>
      <c r="G23" s="44" t="s">
        <v>41</v>
      </c>
      <c r="H23" s="43"/>
      <c r="I23" s="46">
        <v>46065.708333333336</v>
      </c>
      <c r="J23" s="46"/>
      <c r="K23" s="45" t="str">
        <f t="shared" ca="1" si="0"/>
        <v/>
      </c>
      <c r="L23" s="47">
        <v>3</v>
      </c>
      <c r="M23" s="47"/>
      <c r="N23" s="45">
        <f>IF(ISBLANK(L23), "", L23*VLOOKUP($F23,Internal!$B$26:$C$32,2,FALSE))</f>
        <v>75</v>
      </c>
      <c r="O23" s="45" t="str">
        <f>IF(ISBLANK(M23), "", M23*VLOOKUP($F23,Internal!$B$26:$C$32,2,FALSE))</f>
        <v/>
      </c>
      <c r="P23" s="44" t="s">
        <v>106</v>
      </c>
    </row>
    <row r="24" spans="2:16" ht="14.65" thickBot="1" x14ac:dyDescent="0.5">
      <c r="B24" s="41">
        <v>14</v>
      </c>
      <c r="C24" s="42" t="str">
        <f>IF(ISBLANK(D24), "", _xlfn.CONCAT("T", TEXT(B24, "0000"), "/", VLOOKUP(D24, Internal!$B$35:C$39, 2, FALSE), IF(OR(D24="QA", D24="Revision"), _xlfn.CONCAT("/", H24), "")))</f>
        <v>T0014/D</v>
      </c>
      <c r="D24" s="44" t="s">
        <v>62</v>
      </c>
      <c r="E24" s="43" t="s">
        <v>81</v>
      </c>
      <c r="F24" s="43" t="s">
        <v>25</v>
      </c>
      <c r="G24" s="44" t="s">
        <v>41</v>
      </c>
      <c r="H24" s="43"/>
      <c r="I24" s="46">
        <v>46066.666666666664</v>
      </c>
      <c r="J24" s="46"/>
      <c r="K24" s="45" t="str">
        <f t="shared" ca="1" si="0"/>
        <v/>
      </c>
      <c r="L24" s="47">
        <v>3</v>
      </c>
      <c r="M24" s="47"/>
      <c r="N24" s="45">
        <f>IF(ISBLANK(L24), "", L24*VLOOKUP($F24,Internal!$B$26:$C$32,2,FALSE))</f>
        <v>75</v>
      </c>
      <c r="O24" s="45" t="str">
        <f>IF(ISBLANK(M24), "", M24*VLOOKUP($F24,Internal!$B$26:$C$32,2,FALSE))</f>
        <v/>
      </c>
      <c r="P24" s="44" t="s">
        <v>107</v>
      </c>
    </row>
    <row r="25" spans="2:16" ht="14.65" thickBot="1" x14ac:dyDescent="0.5">
      <c r="B25" s="41">
        <v>15</v>
      </c>
      <c r="C25" s="42" t="str">
        <f>IF(ISBLANK(D25), "", _xlfn.CONCAT("T", TEXT(B25, "0000"), "/", VLOOKUP(D25, Internal!$B$35:C$39, 2, FALSE), IF(OR(D25="QA", D25="Revision"), _xlfn.CONCAT("/", H25), "")))</f>
        <v>T0015/D</v>
      </c>
      <c r="D25" s="44" t="s">
        <v>62</v>
      </c>
      <c r="E25" s="43" t="s">
        <v>82</v>
      </c>
      <c r="F25" s="43" t="s">
        <v>25</v>
      </c>
      <c r="G25" s="44" t="s">
        <v>41</v>
      </c>
      <c r="H25" s="43"/>
      <c r="I25" s="46">
        <v>46067.416666666664</v>
      </c>
      <c r="J25" s="46"/>
      <c r="K25" s="45" t="str">
        <f t="shared" ca="1" si="0"/>
        <v/>
      </c>
      <c r="L25" s="47">
        <v>3</v>
      </c>
      <c r="M25" s="47"/>
      <c r="N25" s="45">
        <f>IF(ISBLANK(L25), "", L25*VLOOKUP($F25,Internal!$B$26:$C$32,2,FALSE))</f>
        <v>75</v>
      </c>
      <c r="O25" s="45" t="str">
        <f>IF(ISBLANK(M25), "", M25*VLOOKUP($F25,Internal!$B$26:$C$32,2,FALSE))</f>
        <v/>
      </c>
      <c r="P25" s="44" t="s">
        <v>108</v>
      </c>
    </row>
    <row r="26" spans="2:16" ht="14.65" thickBot="1" x14ac:dyDescent="0.5">
      <c r="B26" s="41">
        <v>16</v>
      </c>
      <c r="C26" s="42" t="str">
        <f>IF(ISBLANK(D26), "", _xlfn.CONCAT("T", TEXT(B26, "0000"), "/", VLOOKUP(D26, Internal!$B$35:C$39, 2, FALSE), IF(OR(D26="QA", D26="Revision"), _xlfn.CONCAT("/", H26), "")))</f>
        <v>T0016/M</v>
      </c>
      <c r="D26" s="44" t="s">
        <v>64</v>
      </c>
      <c r="E26" s="43" t="s">
        <v>80</v>
      </c>
      <c r="F26" s="43" t="s">
        <v>23</v>
      </c>
      <c r="G26" s="44" t="s">
        <v>36</v>
      </c>
      <c r="H26" s="43"/>
      <c r="I26" s="46">
        <v>46067.666666666664</v>
      </c>
      <c r="J26" s="46"/>
      <c r="K26" s="45" t="str">
        <f t="shared" ca="1" si="0"/>
        <v/>
      </c>
      <c r="L26" s="47">
        <v>2</v>
      </c>
      <c r="M26" s="47"/>
      <c r="N26" s="45">
        <f>IF(ISBLANK(L26), "", L26*VLOOKUP($F26,Internal!$B$26:$C$32,2,FALSE))</f>
        <v>100</v>
      </c>
      <c r="O26" s="45" t="str">
        <f>IF(ISBLANK(M26), "", M26*VLOOKUP($F26,Internal!$B$26:$C$32,2,FALSE))</f>
        <v/>
      </c>
      <c r="P26" s="44" t="s">
        <v>103</v>
      </c>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59"/>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2">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2"/>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2"/>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2"/>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2"/>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2"/>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2"/>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2"/>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2"/>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2"/>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2"/>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2"/>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2"/>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2"/>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2"/>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2"/>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2"/>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2"/>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2"/>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2"/>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2"/>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2"/>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2"/>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2"/>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2"/>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2"/>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2"/>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2"/>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2"/>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2"/>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2"/>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2"/>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2"/>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2"/>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2"/>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3">
      <formula>AND(H11&lt;&gt;"",COUNTIF($C$12:$C$112,H11)=0)</formula>
    </cfRule>
  </conditionalFormatting>
  <conditionalFormatting sqref="J11:J112">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86</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5" t="s">
        <v>11</v>
      </c>
      <c r="C2" s="55"/>
      <c r="D2" s="55"/>
      <c r="E2" s="55"/>
      <c r="F2" s="55"/>
      <c r="G2" s="55"/>
      <c r="H2" s="55"/>
      <c r="I2" s="55"/>
      <c r="J2" s="55"/>
    </row>
    <row r="4" spans="2:10" x14ac:dyDescent="0.45">
      <c r="B4" s="53" t="s">
        <v>13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2026-02-12T15:28:54Z</dcterms:modified>
</cp:coreProperties>
</file>