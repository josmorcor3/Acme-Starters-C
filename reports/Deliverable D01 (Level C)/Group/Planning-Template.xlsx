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r\Downloads\Workspace-26\Projects\Acme-Starters-C\reports\Deliverable D01 (Level C)\Group\"/>
    </mc:Choice>
  </mc:AlternateContent>
  <xr:revisionPtr revIDLastSave="0" documentId="13_ncr:1_{A0324068-7A2D-4E86-9EBA-51AE14C25813}" xr6:coauthVersionLast="47" xr6:coauthVersionMax="47" xr10:uidLastSave="{00000000-0000-0000-0000-000000000000}"/>
  <bookViews>
    <workbookView xWindow="-98" yWindow="-98" windowWidth="21795" windowHeight="12975"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4" i="14" l="1"/>
  <c r="N14" i="14"/>
  <c r="K14" i="14"/>
  <c r="C14" i="14"/>
  <c r="N17" i="14"/>
  <c r="N16" i="14"/>
  <c r="O11" i="14"/>
  <c r="N11" i="14"/>
  <c r="K11" i="14"/>
  <c r="C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3" i="14"/>
  <c r="K13" i="14"/>
  <c r="N13" i="14"/>
  <c r="O13" i="14"/>
  <c r="C15" i="14"/>
  <c r="K15" i="14"/>
  <c r="N15" i="14"/>
  <c r="O15" i="14"/>
  <c r="C16" i="14"/>
  <c r="K16" i="14"/>
  <c r="O16" i="14"/>
  <c r="C17" i="14"/>
  <c r="K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C112" i="14"/>
  <c r="K112" i="14"/>
  <c r="N112" i="14"/>
  <c r="O112" i="14"/>
  <c r="O12" i="14"/>
  <c r="N12" i="14"/>
  <c r="C12" i="14"/>
  <c r="K12" i="14"/>
  <c r="E7" i="19"/>
  <c r="E7" i="14" l="1"/>
  <c r="E6" i="14"/>
</calcChain>
</file>

<file path=xl/sharedStrings.xml><?xml version="1.0" encoding="utf-8"?>
<sst xmlns="http://schemas.openxmlformats.org/spreadsheetml/2006/main" count="186" uniqueCount="100">
  <si>
    <t xml:space="preserve">  Enter configuration data in these cells</t>
  </si>
  <si>
    <t xml:space="preserve">  Internal data.  Do not change them.</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</si>
  <si>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</si>
  <si>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</si>
  <si>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Abstract</t>
  </si>
  <si>
    <t>Deliverable D01</t>
  </si>
  <si>
    <t>Assignee</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</si>
  <si>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</si>
  <si>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</si>
  <si>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</si>
  <si>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</si>
  <si>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</si>
  <si>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</si>
  <si>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</si>
  <si>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</si>
  <si>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</si>
  <si>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</si>
  <si>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</si>
  <si>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</si>
  <si>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</si>
  <si>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</si>
  <si>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</si>
  <si>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</si>
  <si>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</si>
  <si>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</si>
  <si>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</si>
  <si>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</si>
  <si>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</si>
  <si>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</si>
  <si>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</si>
  <si>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</si>
  <si>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</si>
  <si>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</si>
  <si>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</si>
  <si>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</si>
  <si>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</si>
  <si>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</si>
  <si>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</si>
  <si>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</si>
  <si>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</si>
  <si>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Customise the starter</t>
  </si>
  <si>
    <t>Implement feature</t>
  </si>
  <si>
    <t>Test feature informally</t>
  </si>
  <si>
    <t>Check deliverable</t>
  </si>
  <si>
    <t>Test feature formally</t>
  </si>
  <si>
    <t>Test performance formally</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</si>
  <si>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</si>
  <si>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</si>
  <si>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</si>
  <si>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</si>
  <si>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</si>
  <si>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</si>
  <si>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</si>
  <si>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</si>
  <si>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</si>
  <si>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</si>
  <si>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</si>
  <si>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</si>
  <si>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</si>
  <si>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</si>
  <si>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</si>
  <si>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</si>
  <si>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</si>
  <si>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</si>
  <si>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</si>
  <si>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</si>
  <si>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</si>
  <si>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</si>
  <si>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</si>
  <si>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</si>
  <si>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</si>
  <si>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</si>
  <si>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</si>
  <si>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</si>
  <si>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</si>
  <si>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</si>
  <si>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</si>
  <si>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</si>
  <si>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Copyright</t>
  </si>
  <si>
    <t xml:space="preserve">  Help comments</t>
  </si>
  <si>
    <t>Student 1</t>
  </si>
  <si>
    <t>Student 2</t>
  </si>
  <si>
    <t>Student 3</t>
  </si>
  <si>
    <t>Student 4</t>
  </si>
  <si>
    <t>Student 5</t>
  </si>
  <si>
    <t>Deliverable D02</t>
  </si>
  <si>
    <t>Deliverable D03</t>
  </si>
  <si>
    <t>Check task</t>
  </si>
  <si>
    <t>Prepare dep. platf.</t>
  </si>
  <si>
    <t>Create dev. config.</t>
  </si>
  <si>
    <t xml:space="preserve">  Warning and error messages.</t>
  </si>
  <si>
    <t xml:space="preserve"> Data computed automatically.  Do not change them.</t>
  </si>
  <si>
    <t>Realizar el chartering report.</t>
  </si>
  <si>
    <t>Inicializar el repositorio en GitHub.</t>
  </si>
  <si>
    <t>Instanciar el proyecto base "Hello-World" como "Acme-Starters-C"</t>
  </si>
  <si>
    <t>Personalizar el proyecto con las tareas  que vienen descritas en la presetación S03.</t>
  </si>
  <si>
    <t>T0005/D</t>
  </si>
  <si>
    <t>Revisar tarea.</t>
  </si>
  <si>
    <t>Realizar el primer reparto de tareas referidas al Requisito Cero.</t>
  </si>
  <si>
    <t>Rellenar el formulario de identificación.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</si>
</sst>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59">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328125" defaultRowHeight="14.25" x14ac:dyDescent="0.45"/>
  <cols>
    <col min="1" max="16384" width="9.1328125" style="1"/>
  </cols>
  <sheetData>
    <row r="2" spans="2:10" x14ac:dyDescent="0.45">
      <c r="B2" s="55" t="s">
        <v>78</v>
      </c>
      <c r="C2" s="55"/>
      <c r="D2" s="55"/>
      <c r="E2" s="55"/>
      <c r="F2" s="55"/>
      <c r="G2" s="55"/>
      <c r="H2" s="55"/>
      <c r="I2" s="55"/>
      <c r="J2" s="55"/>
    </row>
    <row r="4" spans="2:10" x14ac:dyDescent="0.45">
      <c r="B4" s="53" t="s">
        <v>2</v>
      </c>
      <c r="C4" s="54"/>
      <c r="D4" s="54"/>
      <c r="E4" s="54"/>
      <c r="F4" s="54"/>
      <c r="G4" s="54"/>
      <c r="H4" s="54"/>
      <c r="I4" s="54"/>
      <c r="J4" s="54"/>
    </row>
    <row r="5" spans="2:10" x14ac:dyDescent="0.45">
      <c r="B5" s="54"/>
      <c r="C5" s="54"/>
      <c r="D5" s="54"/>
      <c r="E5" s="54"/>
      <c r="F5" s="54"/>
      <c r="G5" s="54"/>
      <c r="H5" s="54"/>
      <c r="I5" s="54"/>
      <c r="J5" s="54"/>
    </row>
    <row r="6" spans="2:10" x14ac:dyDescent="0.45">
      <c r="B6" s="54"/>
      <c r="C6" s="54"/>
      <c r="D6" s="54"/>
      <c r="E6" s="54"/>
      <c r="F6" s="54"/>
      <c r="G6" s="54"/>
      <c r="H6" s="54"/>
      <c r="I6" s="54"/>
      <c r="J6" s="54"/>
    </row>
    <row r="7" spans="2:10" x14ac:dyDescent="0.45">
      <c r="B7" s="54"/>
      <c r="C7" s="54"/>
      <c r="D7" s="54"/>
      <c r="E7" s="54"/>
      <c r="F7" s="54"/>
      <c r="G7" s="54"/>
      <c r="H7" s="54"/>
      <c r="I7" s="54"/>
      <c r="J7" s="54"/>
    </row>
    <row r="8" spans="2:10" x14ac:dyDescent="0.45">
      <c r="B8" s="54"/>
      <c r="C8" s="54"/>
      <c r="D8" s="54"/>
      <c r="E8" s="54"/>
      <c r="F8" s="54"/>
      <c r="G8" s="54"/>
      <c r="H8" s="54"/>
      <c r="I8" s="54"/>
      <c r="J8" s="54"/>
    </row>
    <row r="9" spans="2:10" x14ac:dyDescent="0.45">
      <c r="B9" s="54"/>
      <c r="C9" s="54"/>
      <c r="D9" s="54"/>
      <c r="E9" s="54"/>
      <c r="F9" s="54"/>
      <c r="G9" s="54"/>
      <c r="H9" s="54"/>
      <c r="I9" s="54"/>
      <c r="J9" s="54"/>
    </row>
    <row r="10" spans="2:10" x14ac:dyDescent="0.45">
      <c r="B10" s="54"/>
      <c r="C10" s="54"/>
      <c r="D10" s="54"/>
      <c r="E10" s="54"/>
      <c r="F10" s="54"/>
      <c r="G10" s="54"/>
      <c r="H10" s="54"/>
      <c r="I10" s="54"/>
      <c r="J10" s="54"/>
    </row>
    <row r="11" spans="2:10" x14ac:dyDescent="0.45">
      <c r="B11" s="54"/>
      <c r="C11" s="54"/>
      <c r="D11" s="54"/>
      <c r="E11" s="54"/>
      <c r="F11" s="54"/>
      <c r="G11" s="54"/>
      <c r="H11" s="54"/>
      <c r="I11" s="54"/>
      <c r="J11" s="54"/>
    </row>
    <row r="12" spans="2:10" x14ac:dyDescent="0.45">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9.06640625" defaultRowHeight="14.25" x14ac:dyDescent="0.45"/>
  <sheetData>
    <row r="2" spans="2:10" x14ac:dyDescent="0.45">
      <c r="B2" s="55" t="s">
        <v>4</v>
      </c>
      <c r="C2" s="55"/>
      <c r="D2" s="55"/>
      <c r="E2" s="55"/>
      <c r="F2" s="55"/>
      <c r="G2" s="55"/>
      <c r="H2" s="55"/>
      <c r="I2" s="55"/>
      <c r="J2" s="55"/>
    </row>
    <row r="3" spans="2:10" x14ac:dyDescent="0.45">
      <c r="B3" s="2"/>
      <c r="C3" s="1"/>
      <c r="D3" s="1"/>
      <c r="E3" s="1"/>
      <c r="F3" s="1"/>
      <c r="G3" s="1"/>
      <c r="H3" s="1"/>
      <c r="I3" s="1"/>
      <c r="J3" s="1"/>
    </row>
    <row r="4" spans="2:10" ht="15" customHeight="1" x14ac:dyDescent="0.45">
      <c r="B4" s="53" t="s">
        <v>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1"/>
      <c r="C7" s="1"/>
      <c r="D7" s="1"/>
      <c r="E7" s="1"/>
      <c r="F7" s="1"/>
      <c r="G7" s="1"/>
      <c r="H7" s="1"/>
      <c r="I7" s="1"/>
      <c r="J7" s="1"/>
    </row>
    <row r="8" spans="2:10" x14ac:dyDescent="0.45">
      <c r="B8" s="39"/>
      <c r="C8" s="40" t="s">
        <v>79</v>
      </c>
      <c r="D8" s="1"/>
      <c r="E8" s="1"/>
      <c r="F8" s="1"/>
      <c r="G8" s="1"/>
      <c r="H8" s="1"/>
      <c r="I8" s="1"/>
      <c r="J8" s="1"/>
    </row>
    <row r="9" spans="2:10" x14ac:dyDescent="0.45">
      <c r="B9" s="4"/>
      <c r="C9" s="56" t="s">
        <v>0</v>
      </c>
      <c r="D9" s="56"/>
      <c r="E9" s="56"/>
      <c r="F9" s="56"/>
      <c r="G9" s="56"/>
      <c r="H9" s="56"/>
      <c r="I9" s="56"/>
      <c r="J9" s="56"/>
    </row>
    <row r="10" spans="2:10" x14ac:dyDescent="0.45">
      <c r="B10" s="49"/>
      <c r="C10" s="56" t="s">
        <v>90</v>
      </c>
      <c r="D10" s="56"/>
      <c r="E10" s="56"/>
      <c r="F10" s="56"/>
      <c r="G10" s="56"/>
      <c r="H10" s="56"/>
      <c r="I10" s="56"/>
      <c r="J10" s="56"/>
    </row>
    <row r="11" spans="2:10" x14ac:dyDescent="0.45">
      <c r="B11" s="50"/>
      <c r="C11" s="48" t="s">
        <v>91</v>
      </c>
      <c r="D11" s="48"/>
      <c r="E11" s="48"/>
      <c r="F11" s="48"/>
      <c r="G11" s="48"/>
      <c r="H11" s="48"/>
      <c r="I11" s="48"/>
      <c r="J11" s="48"/>
    </row>
    <row r="12" spans="2:10" x14ac:dyDescent="0.45">
      <c r="B12" s="3"/>
      <c r="C12" s="56" t="s">
        <v>1</v>
      </c>
      <c r="D12" s="56"/>
      <c r="E12" s="56"/>
      <c r="F12" s="56"/>
      <c r="G12" s="56"/>
      <c r="H12" s="56"/>
      <c r="I12" s="56"/>
      <c r="J12" s="56"/>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2"/>
  <sheetViews>
    <sheetView tabSelected="1" topLeftCell="E1" zoomScaleNormal="100" workbookViewId="0">
      <pane ySplit="10" topLeftCell="A11" activePane="bottomLeft" state="frozen"/>
      <selection pane="bottomLeft" activeCell="K22" sqref="K22"/>
    </sheetView>
  </sheetViews>
  <sheetFormatPr baseColWidth="10" defaultColWidth="9.06640625" defaultRowHeight="14.25" x14ac:dyDescent="0.45"/>
  <cols>
    <col min="3" max="15" width="18.86328125" customWidth="1"/>
    <col min="16" max="16" width="64.53125" customWidth="1"/>
  </cols>
  <sheetData>
    <row r="2" spans="2:16" x14ac:dyDescent="0.45">
      <c r="C2" s="55" t="s">
        <v>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SUM(N12:N112)</f>
        <v>277.5</v>
      </c>
      <c r="F6" s="5"/>
      <c r="G6" s="5"/>
      <c r="H6" s="5"/>
      <c r="I6" s="5"/>
      <c r="J6" s="5"/>
      <c r="K6" s="5"/>
      <c r="L6" s="5"/>
      <c r="M6" s="5"/>
      <c r="N6" s="5"/>
      <c r="O6" s="5"/>
      <c r="P6" s="5"/>
    </row>
    <row r="7" spans="2:16" x14ac:dyDescent="0.45">
      <c r="C7" s="57"/>
      <c r="D7" s="11" t="s">
        <v>70</v>
      </c>
      <c r="E7" s="36">
        <f>SUM(O12:O112)</f>
        <v>287.5</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T0001/M</v>
      </c>
      <c r="D11" s="44" t="s">
        <v>64</v>
      </c>
      <c r="E11" s="43" t="s">
        <v>80</v>
      </c>
      <c r="F11" s="43" t="s">
        <v>23</v>
      </c>
      <c r="G11" s="44" t="s">
        <v>20</v>
      </c>
      <c r="H11" s="43"/>
      <c r="I11" s="46">
        <v>46056.354166666664</v>
      </c>
      <c r="J11" s="46">
        <v>46056.416666666664</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98</v>
      </c>
    </row>
    <row r="12" spans="2:16" ht="14.65" thickBot="1" x14ac:dyDescent="0.5">
      <c r="B12" s="41">
        <v>2</v>
      </c>
      <c r="C12" s="42" t="str">
        <f>IF(ISBLANK(D12), "", _xlfn.CONCAT("T", TEXT(B12, "0000"), "/", VLOOKUP(D12, Internal!$B$35:C$39, 2, FALSE), IF(OR(D12="QA", D12="Revision"), _xlfn.CONCAT("/", H12), "")))</f>
        <v>T0002/M</v>
      </c>
      <c r="D12" s="44" t="s">
        <v>64</v>
      </c>
      <c r="E12" s="43" t="s">
        <v>80</v>
      </c>
      <c r="F12" s="43" t="s">
        <v>23</v>
      </c>
      <c r="G12" s="44" t="s">
        <v>36</v>
      </c>
      <c r="H12" s="43"/>
      <c r="I12" s="46">
        <v>46056.520833333336</v>
      </c>
      <c r="J12" s="46">
        <v>46057.604166666664</v>
      </c>
      <c r="K12" s="45" t="str">
        <f ca="1">IF(OR(I12="",J12=""),"",IF(AND(J12&lt;&gt;"",I12&gt;=NOW()),"Planned",IF(AND(J12&lt;&gt;"",J12&lt;NOW()),"Completed","Ongoing")))</f>
        <v>Completed</v>
      </c>
      <c r="L12" s="47">
        <v>3</v>
      </c>
      <c r="M12" s="47">
        <v>4</v>
      </c>
      <c r="N12" s="45">
        <f>IF(ISBLANK(L12), "", L12*VLOOKUP($F12,Internal!$B$26:$C$32,2,FALSE))</f>
        <v>150</v>
      </c>
      <c r="O12" s="45">
        <f>IF(ISBLANK(M12), "", M12*VLOOKUP($F12,Internal!$B$26:$C$32,2,FALSE))</f>
        <v>200</v>
      </c>
      <c r="P12" s="44" t="s">
        <v>92</v>
      </c>
    </row>
    <row r="13" spans="2:16" ht="14.65" thickBot="1" x14ac:dyDescent="0.5">
      <c r="B13" s="41">
        <v>3</v>
      </c>
      <c r="C13" s="42" t="str">
        <f>IF(ISBLANK(D13), "", _xlfn.CONCAT("T", TEXT(B13, "0000"), "/", VLOOKUP(D13, Internal!$B$35:C$39, 2, FALSE), IF(OR(D13="QA", D13="Revision"), _xlfn.CONCAT("/", H13), "")))</f>
        <v>T0003/M</v>
      </c>
      <c r="D13" s="44" t="s">
        <v>64</v>
      </c>
      <c r="E13" s="43" t="s">
        <v>80</v>
      </c>
      <c r="F13" s="43" t="s">
        <v>23</v>
      </c>
      <c r="G13" s="44" t="s">
        <v>34</v>
      </c>
      <c r="H13" s="43"/>
      <c r="I13" s="46">
        <v>46056.416666666664</v>
      </c>
      <c r="J13" s="46">
        <v>46056.427083333336</v>
      </c>
      <c r="K13" s="45" t="str">
        <f t="shared" ref="K13:K77" ca="1" si="0">IF(OR(I13="",J13=""),"",IF(AND(J13&lt;&gt;"",I13&gt;=NOW()),"Planned",IF(AND(J13&lt;&gt;"",J13&lt;NOW()),"Completed","Ongoing")))</f>
        <v>Completed</v>
      </c>
      <c r="L13" s="47">
        <v>0.25</v>
      </c>
      <c r="M13" s="47">
        <v>0.25</v>
      </c>
      <c r="N13" s="45">
        <f>IF(ISBLANK(L13), "", L13*VLOOKUP($F13,Internal!$B$26:$C$32,2,FALSE))</f>
        <v>12.5</v>
      </c>
      <c r="O13" s="45">
        <f>IF(ISBLANK(M13), "", M13*VLOOKUP($F13,Internal!$B$26:$C$32,2,FALSE))</f>
        <v>12.5</v>
      </c>
      <c r="P13" s="44" t="s">
        <v>93</v>
      </c>
    </row>
    <row r="14" spans="2:16" ht="14.65" thickBot="1" x14ac:dyDescent="0.5">
      <c r="B14" s="41">
        <v>4</v>
      </c>
      <c r="C14" s="42" t="str">
        <f>IF(ISBLANK(D14), "", _xlfn.CONCAT("T", TEXT(B14, "0000"), "/", VLOOKUP(D14, Internal!$B$35:C$39, 2, FALSE), IF(OR(D14="QA", D14="Revision"), _xlfn.CONCAT("/", H14), "")))</f>
        <v>T0004/M</v>
      </c>
      <c r="D14" s="44" t="s">
        <v>64</v>
      </c>
      <c r="E14" s="43" t="s">
        <v>80</v>
      </c>
      <c r="F14" s="43" t="s">
        <v>23</v>
      </c>
      <c r="G14" s="44" t="s">
        <v>32</v>
      </c>
      <c r="H14" s="43"/>
      <c r="I14" s="46">
        <v>46056.427083333336</v>
      </c>
      <c r="J14" s="46">
        <v>46056.4375</v>
      </c>
      <c r="K14" s="45" t="str">
        <f ca="1">IF(OR(I14="",J14=""),"",IF(AND(J14&lt;&gt;"",I14&gt;=NOW()),"Planned",IF(AND(J14&lt;&gt;"",J14&lt;NOW()),"Completed","Ongoing")))</f>
        <v>Completed</v>
      </c>
      <c r="L14" s="47">
        <v>0.25</v>
      </c>
      <c r="M14" s="47">
        <v>0.25</v>
      </c>
      <c r="N14" s="45">
        <f>IF(ISBLANK(L14), "", L14*VLOOKUP($F14,Internal!$B$26:$C$32,2,FALSE))</f>
        <v>12.5</v>
      </c>
      <c r="O14" s="45">
        <f>IF(ISBLANK(M14), "", M14*VLOOKUP($F14,Internal!$B$26:$C$32,2,FALSE))</f>
        <v>12.5</v>
      </c>
      <c r="P14" s="44" t="s">
        <v>99</v>
      </c>
    </row>
    <row r="15" spans="2:16" ht="14.65" thickBot="1" x14ac:dyDescent="0.5">
      <c r="B15" s="41">
        <v>5</v>
      </c>
      <c r="C15" s="42" t="str">
        <f>IF(ISBLANK(D15), "", _xlfn.CONCAT("T", TEXT(B15, "0000"), "/", VLOOKUP(D15, Internal!$B$35:C$39, 2, FALSE), IF(OR(D15="QA", D15="Revision"), _xlfn.CONCAT("/", H15), "")))</f>
        <v>T0005/D</v>
      </c>
      <c r="D15" s="44" t="s">
        <v>62</v>
      </c>
      <c r="E15" s="43" t="s">
        <v>80</v>
      </c>
      <c r="F15" s="43" t="s">
        <v>25</v>
      </c>
      <c r="G15" s="44" t="s">
        <v>89</v>
      </c>
      <c r="H15" s="43"/>
      <c r="I15" s="46">
        <v>46058.5</v>
      </c>
      <c r="J15" s="46">
        <v>46058.520833333336</v>
      </c>
      <c r="K15" s="45" t="str">
        <f t="shared" ca="1" si="0"/>
        <v>Completed</v>
      </c>
      <c r="L15" s="47">
        <v>0.5</v>
      </c>
      <c r="M15" s="47">
        <v>0.5</v>
      </c>
      <c r="N15" s="45">
        <f>IF(ISBLANK(L15), "", L15*VLOOKUP($F15,Internal!$B$26:$C$32,2,FALSE))</f>
        <v>12.5</v>
      </c>
      <c r="O15" s="45">
        <f>IF(ISBLANK(M15), "", M15*VLOOKUP($F15,Internal!$B$26:$C$32,2,FALSE))</f>
        <v>12.5</v>
      </c>
      <c r="P15" s="44" t="s">
        <v>94</v>
      </c>
    </row>
    <row r="16" spans="2:16" ht="14.65" thickBot="1" x14ac:dyDescent="0.5">
      <c r="B16" s="41">
        <v>6</v>
      </c>
      <c r="C16" s="42" t="str">
        <f>IF(ISBLANK(D16), "", _xlfn.CONCAT("T", TEXT(B16, "0000"), "/", VLOOKUP(D16, Internal!$B$35:C$39, 2, FALSE), IF(OR(D16="QA", D16="Revision"), _xlfn.CONCAT("/", H16), "")))</f>
        <v>T0006/D</v>
      </c>
      <c r="D16" s="44" t="s">
        <v>62</v>
      </c>
      <c r="E16" s="43" t="s">
        <v>80</v>
      </c>
      <c r="F16" s="43" t="s">
        <v>25</v>
      </c>
      <c r="G16" s="44" t="s">
        <v>40</v>
      </c>
      <c r="H16" s="43"/>
      <c r="I16" s="46">
        <v>46061.375</v>
      </c>
      <c r="J16" s="46">
        <v>46061.59375</v>
      </c>
      <c r="K16" s="45" t="str">
        <f t="shared" ca="1" si="0"/>
        <v>Completed</v>
      </c>
      <c r="L16" s="47">
        <v>3</v>
      </c>
      <c r="M16" s="47">
        <v>2</v>
      </c>
      <c r="N16" s="45">
        <f>IF(ISBLANK(L16), "", L16*VLOOKUP($F16,Internal!$B$26:$C$32,2,FALSE))</f>
        <v>75</v>
      </c>
      <c r="O16" s="45">
        <f>IF(ISBLANK(M16), "", M16*VLOOKUP($F16,Internal!$B$26:$C$32,2,FALSE))</f>
        <v>50</v>
      </c>
      <c r="P16" s="44" t="s">
        <v>95</v>
      </c>
    </row>
    <row r="17" spans="2:16" ht="14.65" thickBot="1" x14ac:dyDescent="0.5">
      <c r="B17" s="41">
        <v>7</v>
      </c>
      <c r="C17" s="42" t="str">
        <f>IF(ISBLANK(D17), "", _xlfn.CONCAT("T", TEXT(B17, "0000"), "/", VLOOKUP(D17, Internal!$B$35:C$39, 2, FALSE), IF(OR(D17="QA", D17="Revision"), _xlfn.CONCAT("/", H17), "")))</f>
        <v>T0007/R/T0005/D</v>
      </c>
      <c r="D17" s="44" t="s">
        <v>61</v>
      </c>
      <c r="E17" s="43" t="s">
        <v>82</v>
      </c>
      <c r="F17" s="43" t="s">
        <v>26</v>
      </c>
      <c r="G17" s="44" t="s">
        <v>87</v>
      </c>
      <c r="H17" s="43" t="s">
        <v>96</v>
      </c>
      <c r="I17" s="46"/>
      <c r="J17" s="46"/>
      <c r="K17" s="45" t="str">
        <f t="shared" ca="1" si="0"/>
        <v/>
      </c>
      <c r="L17" s="47">
        <v>0.5</v>
      </c>
      <c r="M17" s="47"/>
      <c r="N17" s="45">
        <f>IF(ISBLANK(L17), "", L17*VLOOKUP($F17,Internal!$B$26:$C$32,2,FALSE))</f>
        <v>15</v>
      </c>
      <c r="O17" s="45" t="str">
        <f>IF(ISBLANK(M17), "", M17*VLOOKUP($F17,Internal!$B$26:$C$32,2,FALSE))</f>
        <v/>
      </c>
      <c r="P17" s="44" t="s">
        <v>97</v>
      </c>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ca="1" si="0"/>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0"/>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ref="K78:K112" ca="1" si="1">IF(OR(I78="",J78=""),"",IF(AND(J78&lt;&gt;"",I78&gt;=NOW()),"Planned",IF(AND(J78&lt;&gt;"",J78&lt;NOW()),"Completed","Ongoing")))</f>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row r="111" spans="2:16" ht="14.65" thickBot="1" x14ac:dyDescent="0.5">
      <c r="B111" s="41">
        <v>101</v>
      </c>
      <c r="C111" s="42" t="str">
        <f>IF(ISBLANK(D111), "", _xlfn.CONCAT("T", TEXT(B111, "0000"), "/", VLOOKUP(D111, Internal!$B$35:C$39, 2, FALSE), IF(OR(D111="QA", D111="Revision"), _xlfn.CONCAT("/", H111), "")))</f>
        <v/>
      </c>
      <c r="D111" s="44"/>
      <c r="E111" s="43"/>
      <c r="F111" s="43"/>
      <c r="G111" s="44"/>
      <c r="H111" s="43"/>
      <c r="I111" s="46"/>
      <c r="J111" s="46"/>
      <c r="K111" s="45" t="str">
        <f t="shared" ca="1" si="1"/>
        <v/>
      </c>
      <c r="L111" s="47"/>
      <c r="M111" s="47"/>
      <c r="N111" s="45" t="str">
        <f>IF(ISBLANK(L111), "", L111*VLOOKUP($F111,Internal!$B$26:$C$32,2,FALSE))</f>
        <v/>
      </c>
      <c r="O111" s="45" t="str">
        <f>IF(ISBLANK(M111), "", M111*VLOOKUP($F111,Internal!$B$26:$C$32,2,FALSE))</f>
        <v/>
      </c>
      <c r="P111" s="44"/>
    </row>
    <row r="112" spans="2:16" ht="14.65" thickBot="1" x14ac:dyDescent="0.5">
      <c r="B112" s="41">
        <v>102</v>
      </c>
      <c r="C112" s="42" t="str">
        <f>IF(ISBLANK(D112), "", _xlfn.CONCAT("T", TEXT(B112, "0000"), "/", VLOOKUP(D112, Internal!$B$35:C$39, 2, FALSE), IF(OR(D112="QA", D112="Revision"), _xlfn.CONCAT("/", H112), "")))</f>
        <v/>
      </c>
      <c r="D112" s="44"/>
      <c r="E112" s="43"/>
      <c r="F112" s="43"/>
      <c r="G112" s="44"/>
      <c r="H112" s="43"/>
      <c r="I112" s="46"/>
      <c r="J112" s="46"/>
      <c r="K112" s="45" t="str">
        <f t="shared" ca="1" si="1"/>
        <v/>
      </c>
      <c r="L112" s="47"/>
      <c r="M112" s="47"/>
      <c r="N112" s="45" t="str">
        <f>IF(ISBLANK(L112), "", L112*VLOOKUP($F112,Internal!$B$26:$C$32,2,FALSE))</f>
        <v/>
      </c>
      <c r="O112" s="45" t="str">
        <f>IF(ISBLANK(M112), "", M112*VLOOKUP($F112,Internal!$B$26:$C$32,2,FALSE))</f>
        <v/>
      </c>
      <c r="P112" s="44"/>
    </row>
  </sheetData>
  <mergeCells count="6">
    <mergeCell ref="C6:C7"/>
    <mergeCell ref="I9:J9"/>
    <mergeCell ref="L9:M9"/>
    <mergeCell ref="N9:O9"/>
    <mergeCell ref="C2:P2"/>
    <mergeCell ref="C4:P4"/>
  </mergeCells>
  <phoneticPr fontId="4" type="noConversion"/>
  <conditionalFormatting sqref="H11:H112">
    <cfRule type="expression" dxfId="5" priority="2">
      <formula>AND(H11&lt;&gt;"",COUNTIF($C$12:$C$112,H11)=0)</formula>
    </cfRule>
  </conditionalFormatting>
  <conditionalFormatting sqref="J11:J112">
    <cfRule type="expression" dxfId="4" priority="1">
      <formula>AND(I11&lt;&gt;"",J11&lt;&gt;"", I11&gt;J11)</formula>
    </cfRule>
  </conditionalFormatting>
  <dataValidations count="9">
    <dataValidation type="decimal" allowBlank="1" showInputMessage="1" showErrorMessage="1" promptTitle="Expected workload" prompt="Enter the expected workload in hours or fractions." sqref="L11:L112" xr:uid="{AADDA758-A288-4920-A868-A656B94EE475}">
      <formula1>0</formula1>
      <formula2>1024</formula2>
    </dataValidation>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2" xr:uid="{FFAE3670-28C0-4D44-81DE-0074EF40B001}"/>
    <dataValidation allowBlank="1" showInputMessage="1" showErrorMessage="1" promptTitle="Description" prompt="If actually necessary, then write a succint description and/or include a link to a document that provides further information." sqref="K11:K112 P11:P112" xr:uid="{4DDB20BC-C9D1-4AB5-9B81-3F9F25727EAD}"/>
    <dataValidation allowBlank="1" showInputMessage="1" showErrorMessage="1" promptTitle="Costs" prompt="The costs are updated automatically.  Don't modify them manually" sqref="N11:O112" xr:uid="{3D1A9EDC-88F9-4796-ACC0-9C5DD1125EFE}"/>
    <dataValidation allowBlank="1" showInputMessage="1" showErrorMessage="1" promptTitle="ID" prompt="The IDs are updated automatically.  Don't modify them manually" sqref="C11:C112" xr:uid="{6C5AA884-EA5C-464F-AE09-58D1C86343FC}"/>
    <dataValidation allowBlank="1" showInputMessage="1" showErrorMessage="1" promptTitle="ORDER" prompt="Order numbers are internal data.  Do not change them._x000a_" sqref="B11:B112" xr:uid="{79B4C829-58F8-4180-8480-F4A0E1F5F1C5}"/>
    <dataValidation type="list" allowBlank="1" showInputMessage="1" showErrorMessage="1" promptTitle="Activity" prompt="Select the Activity to perfom.  Use &quot;Other&quot; only in truly exceptional cases." sqref="G11:G112"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2" xr:uid="{D360DC77-273A-412B-AEBB-6D07121D9EA3}">
      <formula1>$C$12:$C$112</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F11:F112</xm:sqref>
        </x14:dataValidation>
        <x14:dataValidation type="list" allowBlank="1" showInputMessage="1" showErrorMessage="1" promptTitle="Type" prompt="Indicate the type of task." xr:uid="{FB2BBB7B-03FF-45CB-8A89-AFA40F81FC94}">
          <x14:formula1>
            <xm:f>Internal!$B$35:$B$39</xm:f>
          </x14:formula1>
          <xm:sqref>D11:D112</xm:sqref>
        </x14:dataValidation>
        <x14:dataValidation type="list" allowBlank="1" showInputMessage="1" showErrorMessage="1" promptTitle="Assignee" prompt="Select the workmate the task is assigned to." xr:uid="{9667150F-C763-44E5-A661-FFC8169264CA}">
          <x14:formula1>
            <xm:f>Internal!$B$9:$B$14</xm:f>
          </x14:formula1>
          <xm:sqref>E11:E112</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I11:I112</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J11:J112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85</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9.06640625" defaultRowHeight="14.25" x14ac:dyDescent="0.45"/>
  <cols>
    <col min="3" max="15" width="18.86328125" customWidth="1"/>
    <col min="16" max="16" width="64.53125" customWidth="1"/>
  </cols>
  <sheetData>
    <row r="2" spans="2:16" x14ac:dyDescent="0.45">
      <c r="C2" s="55" t="s">
        <v>86</v>
      </c>
      <c r="D2" s="55"/>
      <c r="E2" s="55"/>
      <c r="F2" s="55"/>
      <c r="G2" s="55"/>
      <c r="H2" s="55"/>
      <c r="I2" s="55"/>
      <c r="J2" s="55"/>
      <c r="K2" s="55"/>
      <c r="L2" s="55"/>
      <c r="M2" s="55"/>
      <c r="N2" s="55"/>
      <c r="O2" s="55"/>
      <c r="P2" s="55"/>
    </row>
    <row r="4" spans="2:16" ht="15" customHeight="1" x14ac:dyDescent="0.45">
      <c r="C4" s="53" t="s">
        <v>75</v>
      </c>
      <c r="D4" s="53"/>
      <c r="E4" s="53"/>
      <c r="F4" s="53"/>
      <c r="G4" s="53"/>
      <c r="H4" s="53"/>
      <c r="I4" s="53"/>
      <c r="J4" s="53"/>
      <c r="K4" s="53"/>
      <c r="L4" s="53"/>
      <c r="M4" s="53"/>
      <c r="N4" s="53"/>
      <c r="O4" s="53"/>
      <c r="P4" s="53"/>
    </row>
    <row r="5" spans="2:16" x14ac:dyDescent="0.45">
      <c r="C5" s="5"/>
      <c r="D5" s="5"/>
      <c r="E5" s="5"/>
      <c r="F5" s="5"/>
      <c r="G5" s="5"/>
      <c r="H5" s="5"/>
      <c r="I5" s="5"/>
      <c r="J5" s="5"/>
      <c r="K5" s="5"/>
      <c r="L5" s="5"/>
      <c r="M5" s="5"/>
      <c r="N5" s="5"/>
      <c r="O5" s="5"/>
      <c r="P5" s="5"/>
    </row>
    <row r="6" spans="2:16" x14ac:dyDescent="0.45">
      <c r="C6" s="57" t="s">
        <v>68</v>
      </c>
      <c r="D6" s="10" t="s">
        <v>69</v>
      </c>
      <c r="E6" s="35">
        <f>SUM(N11:N110)</f>
        <v>0</v>
      </c>
      <c r="F6" s="5"/>
      <c r="G6" s="5"/>
      <c r="H6" s="5"/>
      <c r="I6" s="5"/>
      <c r="J6" s="5"/>
      <c r="K6" s="5"/>
      <c r="L6" s="5"/>
      <c r="M6" s="5"/>
      <c r="N6" s="5"/>
      <c r="O6" s="5"/>
      <c r="P6" s="5"/>
    </row>
    <row r="7" spans="2:16" x14ac:dyDescent="0.45">
      <c r="C7" s="57"/>
      <c r="D7" s="11" t="s">
        <v>70</v>
      </c>
      <c r="E7" s="36">
        <f>SUM(O11:O110)</f>
        <v>0</v>
      </c>
      <c r="J7" s="37"/>
    </row>
    <row r="9" spans="2:16" x14ac:dyDescent="0.45">
      <c r="B9" s="6"/>
      <c r="C9" s="7"/>
      <c r="D9" s="7"/>
      <c r="E9" s="7"/>
      <c r="F9" s="7"/>
      <c r="G9" s="7"/>
      <c r="H9" s="7"/>
      <c r="I9" s="58" t="s">
        <v>51</v>
      </c>
      <c r="J9" s="58"/>
      <c r="K9" s="7"/>
      <c r="L9" s="58" t="s">
        <v>7</v>
      </c>
      <c r="M9" s="58"/>
      <c r="N9" s="58" t="s">
        <v>58</v>
      </c>
      <c r="O9" s="58"/>
      <c r="P9" s="7"/>
    </row>
    <row r="10" spans="2:16" ht="14.65" thickBot="1" x14ac:dyDescent="0.5">
      <c r="B10" s="8" t="s">
        <v>66</v>
      </c>
      <c r="C10" s="8" t="s">
        <v>19</v>
      </c>
      <c r="D10" s="9" t="s">
        <v>59</v>
      </c>
      <c r="E10" s="9" t="s">
        <v>6</v>
      </c>
      <c r="F10" s="9" t="s">
        <v>21</v>
      </c>
      <c r="G10" s="9" t="s">
        <v>76</v>
      </c>
      <c r="H10" s="8" t="s">
        <v>18</v>
      </c>
      <c r="I10" s="38" t="s">
        <v>52</v>
      </c>
      <c r="J10" s="38" t="s">
        <v>53</v>
      </c>
      <c r="K10" s="9" t="s">
        <v>10</v>
      </c>
      <c r="L10" s="38" t="s">
        <v>8</v>
      </c>
      <c r="M10" s="38" t="s">
        <v>9</v>
      </c>
      <c r="N10" s="38" t="s">
        <v>8</v>
      </c>
      <c r="O10" s="38" t="s">
        <v>9</v>
      </c>
      <c r="P10" s="9" t="s">
        <v>67</v>
      </c>
    </row>
    <row r="11" spans="2:16" ht="14.65" thickBot="1" x14ac:dyDescent="0.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4.65" thickBot="1" x14ac:dyDescent="0.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4.65" thickBot="1" x14ac:dyDescent="0.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4.65" thickBot="1" x14ac:dyDescent="0.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4.65" thickBot="1" x14ac:dyDescent="0.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4.65" thickBot="1" x14ac:dyDescent="0.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4.65" thickBot="1" x14ac:dyDescent="0.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4.65" thickBot="1" x14ac:dyDescent="0.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4.65" thickBot="1" x14ac:dyDescent="0.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4.65" thickBot="1" x14ac:dyDescent="0.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4.65" thickBot="1" x14ac:dyDescent="0.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4.65" thickBot="1" x14ac:dyDescent="0.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4.65" thickBot="1" x14ac:dyDescent="0.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4.65" thickBot="1" x14ac:dyDescent="0.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4.65" thickBot="1" x14ac:dyDescent="0.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4.65" thickBot="1" x14ac:dyDescent="0.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4.65" thickBot="1" x14ac:dyDescent="0.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4.65" thickBot="1" x14ac:dyDescent="0.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4.65" thickBot="1" x14ac:dyDescent="0.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4.65" thickBot="1" x14ac:dyDescent="0.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4.65" thickBot="1" x14ac:dyDescent="0.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4.65" thickBot="1" x14ac:dyDescent="0.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4.65" thickBot="1" x14ac:dyDescent="0.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4.65" thickBot="1" x14ac:dyDescent="0.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4.65" thickBot="1" x14ac:dyDescent="0.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4.65" thickBot="1" x14ac:dyDescent="0.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4.65" thickBot="1" x14ac:dyDescent="0.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4.65" thickBot="1" x14ac:dyDescent="0.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4.65" thickBot="1" x14ac:dyDescent="0.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4.65" thickBot="1" x14ac:dyDescent="0.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4.65" thickBot="1" x14ac:dyDescent="0.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4.65" thickBot="1" x14ac:dyDescent="0.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4.65" thickBot="1" x14ac:dyDescent="0.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4.65" thickBot="1" x14ac:dyDescent="0.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4.65" thickBot="1" x14ac:dyDescent="0.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4.65" thickBot="1" x14ac:dyDescent="0.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4.65" thickBot="1" x14ac:dyDescent="0.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4.65" thickBot="1" x14ac:dyDescent="0.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4.65" thickBot="1" x14ac:dyDescent="0.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4.65" thickBot="1" x14ac:dyDescent="0.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4.65" thickBot="1" x14ac:dyDescent="0.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4.65" thickBot="1" x14ac:dyDescent="0.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4.65" thickBot="1" x14ac:dyDescent="0.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4.65" thickBot="1" x14ac:dyDescent="0.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4.65" thickBot="1" x14ac:dyDescent="0.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4.65" thickBot="1" x14ac:dyDescent="0.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4.65" thickBot="1" x14ac:dyDescent="0.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4.65" thickBot="1" x14ac:dyDescent="0.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4.65" thickBot="1" x14ac:dyDescent="0.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4.65" thickBot="1" x14ac:dyDescent="0.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4.65" thickBot="1" x14ac:dyDescent="0.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4.65" thickBot="1" x14ac:dyDescent="0.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4.65" thickBot="1" x14ac:dyDescent="0.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4.65" thickBot="1" x14ac:dyDescent="0.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4.65" thickBot="1" x14ac:dyDescent="0.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4.65" thickBot="1" x14ac:dyDescent="0.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4.65" thickBot="1" x14ac:dyDescent="0.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4.65" thickBot="1" x14ac:dyDescent="0.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4.65" thickBot="1" x14ac:dyDescent="0.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4.65" thickBot="1" x14ac:dyDescent="0.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4.65" thickBot="1" x14ac:dyDescent="0.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4.65" thickBot="1" x14ac:dyDescent="0.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4.65" thickBot="1" x14ac:dyDescent="0.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4.65" thickBot="1" x14ac:dyDescent="0.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4.65" thickBot="1" x14ac:dyDescent="0.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4.65" thickBot="1" x14ac:dyDescent="0.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4.65" thickBot="1" x14ac:dyDescent="0.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4.65" thickBot="1" x14ac:dyDescent="0.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4.65" thickBot="1" x14ac:dyDescent="0.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4.65" thickBot="1" x14ac:dyDescent="0.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4.65" thickBot="1" x14ac:dyDescent="0.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4.65" thickBot="1" x14ac:dyDescent="0.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4.65" thickBot="1" x14ac:dyDescent="0.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4.65" thickBot="1" x14ac:dyDescent="0.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4.65" thickBot="1" x14ac:dyDescent="0.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4.65" thickBot="1" x14ac:dyDescent="0.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4.65" thickBot="1" x14ac:dyDescent="0.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4.65" thickBot="1" x14ac:dyDescent="0.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4.65" thickBot="1" x14ac:dyDescent="0.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4.65" thickBot="1" x14ac:dyDescent="0.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4.65" thickBot="1" x14ac:dyDescent="0.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4.65" thickBot="1" x14ac:dyDescent="0.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4.65" thickBot="1" x14ac:dyDescent="0.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4.65" thickBot="1" x14ac:dyDescent="0.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4.65" thickBot="1" x14ac:dyDescent="0.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4.65" thickBot="1" x14ac:dyDescent="0.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4.65" thickBot="1" x14ac:dyDescent="0.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4.65" thickBot="1" x14ac:dyDescent="0.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4.65" thickBot="1" x14ac:dyDescent="0.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4.65" thickBot="1" x14ac:dyDescent="0.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4.65" thickBot="1" x14ac:dyDescent="0.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4.65" thickBot="1" x14ac:dyDescent="0.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4.65" thickBot="1" x14ac:dyDescent="0.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4.65" thickBot="1" x14ac:dyDescent="0.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4.65" thickBot="1" x14ac:dyDescent="0.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4.65" thickBot="1" x14ac:dyDescent="0.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4.65" thickBot="1" x14ac:dyDescent="0.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4.65" thickBot="1" x14ac:dyDescent="0.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4.65" thickBot="1" x14ac:dyDescent="0.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4.65" thickBot="1" x14ac:dyDescent="0.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9.06640625" defaultRowHeight="14.25" x14ac:dyDescent="0.45"/>
  <cols>
    <col min="2" max="10" width="22" customWidth="1"/>
  </cols>
  <sheetData>
    <row r="2" spans="2:10" x14ac:dyDescent="0.45">
      <c r="B2" s="55" t="s">
        <v>11</v>
      </c>
      <c r="C2" s="55"/>
      <c r="D2" s="55"/>
      <c r="E2" s="55"/>
      <c r="F2" s="55"/>
      <c r="G2" s="55"/>
      <c r="H2" s="55"/>
      <c r="I2" s="55"/>
      <c r="J2" s="55"/>
    </row>
    <row r="4" spans="2:10" x14ac:dyDescent="0.45">
      <c r="B4" s="53" t="s">
        <v>13</v>
      </c>
      <c r="C4" s="53"/>
      <c r="D4" s="53"/>
      <c r="E4" s="53"/>
      <c r="F4" s="53"/>
      <c r="G4" s="53"/>
      <c r="H4" s="53"/>
      <c r="I4" s="53"/>
      <c r="J4" s="53"/>
    </row>
    <row r="5" spans="2:10" x14ac:dyDescent="0.45">
      <c r="B5" s="53"/>
      <c r="C5" s="53"/>
      <c r="D5" s="53"/>
      <c r="E5" s="53"/>
      <c r="F5" s="53"/>
      <c r="G5" s="53"/>
      <c r="H5" s="53"/>
      <c r="I5" s="53"/>
      <c r="J5" s="53"/>
    </row>
    <row r="6" spans="2:10" x14ac:dyDescent="0.45">
      <c r="B6" s="53"/>
      <c r="C6" s="53"/>
      <c r="D6" s="53"/>
      <c r="E6" s="53"/>
      <c r="F6" s="53"/>
      <c r="G6" s="53"/>
      <c r="H6" s="53"/>
      <c r="I6" s="53"/>
      <c r="J6" s="53"/>
    </row>
    <row r="7" spans="2:10" x14ac:dyDescent="0.45">
      <c r="B7" s="5"/>
      <c r="C7" s="5"/>
      <c r="D7" s="5"/>
      <c r="E7" s="5"/>
      <c r="F7" s="5"/>
      <c r="G7" s="5"/>
      <c r="H7" s="5"/>
      <c r="I7" s="5"/>
      <c r="J7" s="5"/>
    </row>
    <row r="8" spans="2:10" x14ac:dyDescent="0.45">
      <c r="B8" s="25" t="s">
        <v>12</v>
      </c>
      <c r="C8" s="12"/>
      <c r="D8" s="12"/>
      <c r="E8" s="12"/>
      <c r="F8" s="12"/>
      <c r="G8" s="12"/>
      <c r="H8" s="12"/>
      <c r="I8" s="12"/>
      <c r="J8" s="12"/>
    </row>
    <row r="9" spans="2:10" x14ac:dyDescent="0.45">
      <c r="B9" s="13" t="s">
        <v>80</v>
      </c>
      <c r="C9" s="12"/>
      <c r="D9" s="12"/>
      <c r="E9" s="12"/>
      <c r="F9" s="12"/>
      <c r="G9" s="12"/>
      <c r="H9" s="12"/>
      <c r="I9" s="12"/>
      <c r="J9" s="12"/>
    </row>
    <row r="10" spans="2:10" x14ac:dyDescent="0.45">
      <c r="B10" s="13" t="s">
        <v>81</v>
      </c>
      <c r="C10" s="12"/>
      <c r="D10" s="12"/>
      <c r="E10" s="12"/>
      <c r="F10" s="12"/>
      <c r="G10" s="12"/>
      <c r="H10" s="12"/>
      <c r="I10" s="12"/>
      <c r="J10" s="12"/>
    </row>
    <row r="11" spans="2:10" x14ac:dyDescent="0.45">
      <c r="B11" s="13" t="s">
        <v>82</v>
      </c>
      <c r="C11" s="12"/>
      <c r="D11" s="12"/>
      <c r="E11" s="12"/>
      <c r="F11" s="12"/>
      <c r="G11" s="12"/>
      <c r="H11" s="12"/>
      <c r="I11" s="12"/>
      <c r="J11" s="12"/>
    </row>
    <row r="12" spans="2:10" x14ac:dyDescent="0.45">
      <c r="B12" s="13" t="s">
        <v>83</v>
      </c>
      <c r="C12" s="12"/>
      <c r="D12" s="12"/>
      <c r="E12" s="12"/>
      <c r="F12" s="12"/>
      <c r="G12" s="12"/>
      <c r="H12" s="12"/>
      <c r="I12" s="12"/>
      <c r="J12" s="12"/>
    </row>
    <row r="13" spans="2:10" x14ac:dyDescent="0.45">
      <c r="B13" s="13" t="s">
        <v>84</v>
      </c>
      <c r="C13" s="12"/>
      <c r="D13" s="12"/>
      <c r="E13" s="12"/>
      <c r="F13" s="12"/>
      <c r="G13" s="12"/>
      <c r="H13" s="12"/>
      <c r="I13" s="12"/>
      <c r="J13" s="12"/>
    </row>
    <row r="14" spans="2:10" x14ac:dyDescent="0.45">
      <c r="B14" s="14" t="s">
        <v>77</v>
      </c>
      <c r="C14" s="12"/>
      <c r="D14" s="12"/>
      <c r="E14" s="12"/>
      <c r="F14" s="12"/>
      <c r="G14" s="12"/>
      <c r="H14" s="12"/>
      <c r="I14" s="12"/>
      <c r="J14" s="12"/>
    </row>
    <row r="15" spans="2:10" x14ac:dyDescent="0.45">
      <c r="B15" s="3"/>
      <c r="C15" s="12"/>
      <c r="D15" s="12"/>
      <c r="E15" s="12"/>
      <c r="F15" s="12"/>
      <c r="G15" s="12"/>
      <c r="H15" s="12"/>
      <c r="I15" s="12"/>
      <c r="J15" s="12"/>
    </row>
    <row r="16" spans="2:10" x14ac:dyDescent="0.45">
      <c r="B16" s="26" t="s">
        <v>14</v>
      </c>
      <c r="C16" s="12"/>
      <c r="D16" s="12"/>
      <c r="E16" s="12"/>
      <c r="F16" s="12"/>
      <c r="G16" s="12"/>
      <c r="H16" s="12"/>
      <c r="I16" s="12"/>
      <c r="J16" s="12"/>
    </row>
    <row r="17" spans="2:10" x14ac:dyDescent="0.45">
      <c r="B17" s="15" t="s">
        <v>15</v>
      </c>
      <c r="C17" s="12"/>
      <c r="D17" s="12"/>
      <c r="E17" s="12"/>
      <c r="F17" s="12"/>
      <c r="G17" s="12"/>
      <c r="H17" s="12"/>
      <c r="I17" s="12"/>
      <c r="J17" s="12"/>
    </row>
    <row r="18" spans="2:10" x14ac:dyDescent="0.45">
      <c r="B18" s="15" t="s">
        <v>16</v>
      </c>
      <c r="C18" s="12"/>
      <c r="D18" s="12"/>
      <c r="E18" s="12"/>
      <c r="F18" s="12"/>
      <c r="G18" s="12"/>
      <c r="H18" s="12"/>
      <c r="I18" s="12"/>
      <c r="J18" s="12"/>
    </row>
    <row r="19" spans="2:10" x14ac:dyDescent="0.45">
      <c r="B19" s="16" t="s">
        <v>17</v>
      </c>
      <c r="C19" s="12"/>
      <c r="D19" s="12"/>
      <c r="E19" s="12"/>
      <c r="F19" s="12"/>
      <c r="G19" s="12"/>
      <c r="H19" s="12"/>
      <c r="I19" s="12"/>
      <c r="J19" s="12"/>
    </row>
    <row r="20" spans="2:10" x14ac:dyDescent="0.45">
      <c r="B20" s="3"/>
      <c r="C20" s="12"/>
      <c r="D20" s="12"/>
      <c r="E20" s="12"/>
      <c r="F20" s="12"/>
      <c r="G20" s="12"/>
      <c r="H20" s="12"/>
      <c r="I20" s="12"/>
      <c r="J20" s="12"/>
    </row>
    <row r="21" spans="2:10" x14ac:dyDescent="0.45">
      <c r="B21" s="26" t="s">
        <v>54</v>
      </c>
      <c r="C21" s="12"/>
      <c r="D21" s="12"/>
      <c r="E21" s="12"/>
      <c r="F21" s="12"/>
      <c r="G21" s="12"/>
      <c r="H21" s="12"/>
      <c r="I21" s="12"/>
      <c r="J21" s="12"/>
    </row>
    <row r="22" spans="2:10" x14ac:dyDescent="0.45">
      <c r="B22" s="17">
        <v>45658</v>
      </c>
      <c r="C22" s="12"/>
      <c r="D22" s="12"/>
      <c r="E22" s="12"/>
      <c r="F22" s="12"/>
      <c r="G22" s="12"/>
      <c r="H22" s="12"/>
      <c r="I22" s="12"/>
      <c r="J22" s="12"/>
    </row>
    <row r="23" spans="2:10" x14ac:dyDescent="0.45">
      <c r="B23" s="18" t="s">
        <v>55</v>
      </c>
      <c r="C23" s="12"/>
      <c r="D23" s="12"/>
      <c r="E23" s="12"/>
      <c r="F23" s="12"/>
      <c r="G23" s="12"/>
      <c r="H23" s="12"/>
      <c r="I23" s="12"/>
      <c r="J23" s="12"/>
    </row>
    <row r="24" spans="2:10" x14ac:dyDescent="0.45">
      <c r="B24" s="12"/>
      <c r="C24" s="12"/>
      <c r="D24" s="12"/>
      <c r="E24" s="12"/>
      <c r="F24" s="12"/>
      <c r="G24" s="12"/>
      <c r="H24" s="12"/>
      <c r="I24" s="12"/>
      <c r="J24" s="12"/>
    </row>
    <row r="25" spans="2:10" x14ac:dyDescent="0.45">
      <c r="B25" s="27" t="s">
        <v>22</v>
      </c>
      <c r="C25" s="28" t="s">
        <v>57</v>
      </c>
      <c r="D25" s="28" t="s">
        <v>28</v>
      </c>
      <c r="E25" s="29"/>
      <c r="F25" s="29"/>
      <c r="G25" s="29"/>
      <c r="H25" s="29"/>
      <c r="I25" s="29"/>
      <c r="J25" s="30"/>
    </row>
    <row r="26" spans="2:10" x14ac:dyDescent="0.45">
      <c r="B26" s="19" t="s">
        <v>29</v>
      </c>
      <c r="C26" s="51">
        <v>0</v>
      </c>
      <c r="D26" s="12" t="s">
        <v>30</v>
      </c>
      <c r="E26" s="12" t="s">
        <v>31</v>
      </c>
      <c r="F26" s="12" t="s">
        <v>50</v>
      </c>
      <c r="G26" s="12" t="s">
        <v>32</v>
      </c>
      <c r="H26" s="12"/>
      <c r="I26" s="12"/>
      <c r="J26" s="20"/>
    </row>
    <row r="27" spans="2:10" x14ac:dyDescent="0.45">
      <c r="B27" s="19" t="s">
        <v>23</v>
      </c>
      <c r="C27" s="51">
        <v>50</v>
      </c>
      <c r="D27" s="12" t="s">
        <v>20</v>
      </c>
      <c r="E27" s="12" t="s">
        <v>33</v>
      </c>
      <c r="F27" s="12" t="s">
        <v>34</v>
      </c>
      <c r="G27" s="12" t="s">
        <v>35</v>
      </c>
      <c r="H27" s="12" t="s">
        <v>36</v>
      </c>
      <c r="I27" s="12" t="s">
        <v>32</v>
      </c>
      <c r="J27" s="20"/>
    </row>
    <row r="28" spans="2:10" x14ac:dyDescent="0.45">
      <c r="B28" s="19" t="s">
        <v>24</v>
      </c>
      <c r="C28" s="51">
        <v>40</v>
      </c>
      <c r="D28" s="12" t="s">
        <v>37</v>
      </c>
      <c r="E28" s="12" t="s">
        <v>38</v>
      </c>
      <c r="F28" s="12" t="s">
        <v>39</v>
      </c>
      <c r="G28" s="12" t="s">
        <v>36</v>
      </c>
      <c r="H28" s="12" t="s">
        <v>32</v>
      </c>
      <c r="I28" s="12"/>
      <c r="J28" s="20"/>
    </row>
    <row r="29" spans="2:10" x14ac:dyDescent="0.45">
      <c r="B29" s="19" t="s">
        <v>25</v>
      </c>
      <c r="C29" s="51">
        <v>25</v>
      </c>
      <c r="D29" s="12" t="s">
        <v>89</v>
      </c>
      <c r="E29" s="12" t="s">
        <v>40</v>
      </c>
      <c r="F29" s="12" t="s">
        <v>41</v>
      </c>
      <c r="G29" s="12" t="s">
        <v>42</v>
      </c>
      <c r="H29" s="12" t="s">
        <v>36</v>
      </c>
      <c r="I29" s="12" t="s">
        <v>32</v>
      </c>
      <c r="J29" s="20"/>
    </row>
    <row r="30" spans="2:10" x14ac:dyDescent="0.45">
      <c r="B30" s="19" t="s">
        <v>26</v>
      </c>
      <c r="C30" s="51">
        <v>30</v>
      </c>
      <c r="D30" s="12" t="s">
        <v>43</v>
      </c>
      <c r="E30" s="12" t="s">
        <v>87</v>
      </c>
      <c r="F30" s="12" t="s">
        <v>44</v>
      </c>
      <c r="G30" s="12" t="s">
        <v>45</v>
      </c>
      <c r="H30" s="12" t="s">
        <v>36</v>
      </c>
      <c r="I30" s="12" t="s">
        <v>32</v>
      </c>
      <c r="J30" s="20"/>
    </row>
    <row r="31" spans="2:10" x14ac:dyDescent="0.45">
      <c r="B31" s="21" t="s">
        <v>27</v>
      </c>
      <c r="C31" s="51">
        <v>30</v>
      </c>
      <c r="D31" s="12" t="s">
        <v>88</v>
      </c>
      <c r="E31" s="12" t="s">
        <v>46</v>
      </c>
      <c r="F31" s="12" t="s">
        <v>47</v>
      </c>
      <c r="G31" s="12" t="s">
        <v>48</v>
      </c>
      <c r="H31" s="12" t="s">
        <v>49</v>
      </c>
      <c r="I31" s="12" t="s">
        <v>36</v>
      </c>
      <c r="J31" s="20" t="s">
        <v>32</v>
      </c>
    </row>
    <row r="32" spans="2:10" x14ac:dyDescent="0.45">
      <c r="B32" s="22" t="s">
        <v>56</v>
      </c>
      <c r="C32" s="52">
        <v>10</v>
      </c>
      <c r="D32" s="23" t="s">
        <v>32</v>
      </c>
      <c r="E32" s="23"/>
      <c r="F32" s="23"/>
      <c r="G32" s="23"/>
      <c r="H32" s="23"/>
      <c r="I32" s="23"/>
      <c r="J32" s="24"/>
    </row>
    <row r="33" spans="2:10" x14ac:dyDescent="0.45">
      <c r="B33" s="12"/>
      <c r="C33" s="12"/>
      <c r="D33" s="12"/>
      <c r="E33" s="12"/>
      <c r="F33" s="12"/>
      <c r="G33" s="12"/>
      <c r="H33" s="12"/>
      <c r="I33" s="12"/>
      <c r="J33" s="12"/>
    </row>
    <row r="34" spans="2:10" x14ac:dyDescent="0.45">
      <c r="B34" s="33" t="s">
        <v>60</v>
      </c>
      <c r="C34" s="34" t="s">
        <v>63</v>
      </c>
      <c r="D34" s="12"/>
      <c r="E34" s="12"/>
      <c r="F34" s="12"/>
      <c r="G34" s="12"/>
      <c r="H34" s="12"/>
      <c r="I34" s="12"/>
      <c r="J34" s="12"/>
    </row>
    <row r="35" spans="2:10" x14ac:dyDescent="0.45">
      <c r="B35" s="21" t="s">
        <v>64</v>
      </c>
      <c r="C35" s="31" t="s">
        <v>74</v>
      </c>
      <c r="D35" s="12"/>
      <c r="E35" s="12"/>
      <c r="F35" s="12"/>
      <c r="G35" s="12"/>
      <c r="H35" s="12"/>
      <c r="I35" s="12"/>
      <c r="J35" s="12"/>
    </row>
    <row r="36" spans="2:10" x14ac:dyDescent="0.45">
      <c r="B36" s="21" t="s">
        <v>62</v>
      </c>
      <c r="C36" s="20" t="s">
        <v>72</v>
      </c>
      <c r="D36" s="12"/>
      <c r="E36" s="12"/>
      <c r="F36" s="12"/>
      <c r="G36" s="12"/>
      <c r="H36" s="12"/>
      <c r="I36" s="12"/>
      <c r="J36" s="12"/>
    </row>
    <row r="37" spans="2:10" x14ac:dyDescent="0.45">
      <c r="B37" s="21" t="s">
        <v>65</v>
      </c>
      <c r="C37" s="20" t="s">
        <v>65</v>
      </c>
      <c r="D37" s="12"/>
      <c r="E37" s="12"/>
      <c r="F37" s="12"/>
      <c r="G37" s="12"/>
      <c r="H37" s="12"/>
      <c r="I37" s="12"/>
      <c r="J37" s="12"/>
    </row>
    <row r="38" spans="2:10" x14ac:dyDescent="0.45">
      <c r="B38" s="21" t="s">
        <v>61</v>
      </c>
      <c r="C38" s="20" t="s">
        <v>71</v>
      </c>
      <c r="D38" s="12"/>
      <c r="E38" s="12"/>
      <c r="F38" s="12"/>
      <c r="G38" s="12"/>
      <c r="H38" s="12"/>
      <c r="I38" s="12"/>
      <c r="J38" s="12"/>
    </row>
    <row r="39" spans="2:10" x14ac:dyDescent="0.45">
      <c r="B39" s="32" t="s">
        <v>56</v>
      </c>
      <c r="C39" s="24" t="s">
        <v>73</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JOSÉ JAVIER MORÁN CORBACHO</cp:lastModifiedBy>
  <dcterms:created xsi:type="dcterms:W3CDTF">2024-04-15T09:22:17Z</dcterms:created>
  <dcterms:modified xsi:type="dcterms:W3CDTF">2026-02-08T13:20:02Z</dcterms:modified>
</cp:coreProperties>
</file>